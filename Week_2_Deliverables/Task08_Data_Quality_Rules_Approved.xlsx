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hipments_Rules" sheetId="2" r:id="rId5"/>
    <sheet state="visible" name="Hospital_Rules" sheetId="3" r:id="rId6"/>
    <sheet state="visible" name="Scope_Rules" sheetId="4" r:id="rId7"/>
  </sheets>
  <definedNames/>
  <calcPr/>
</workbook>
</file>

<file path=xl/sharedStrings.xml><?xml version="1.0" encoding="utf-8"?>
<sst xmlns="http://schemas.openxmlformats.org/spreadsheetml/2006/main" count="727" uniqueCount="427">
  <si>
    <t>Task 8: Data Quality Rules ( aligned with the KPIs Document)</t>
  </si>
  <si>
    <t xml:space="preserve"> Week 1 | Source: Data_Final_project IR.xlsx | Counts are pre-cleaning</t>
  </si>
  <si>
    <t>General rules (binding for the whole team)</t>
  </si>
  <si>
    <t>1. A blank stays NULL and is never converted to zero; a true zero differs from a blank.</t>
  </si>
  <si>
    <t>2. No outlier is deleted just because it is large: it is checked, flagged and its effect explained.</t>
  </si>
  <si>
    <t>3. Text is never converted to a date by guessing; status text ("Pre-PQ Process", "Date Not Captured") stays a status and its date is NULL.</t>
  </si>
  <si>
    <t>4. No duplicate is removed before its duplicate key and reason are defined (see Scope_Rules B).</t>
  </si>
  <si>
    <t>5. Raw values are always kept; handling happens in new columns / the Working layer, and every change is logged with the number of rows affected.</t>
  </si>
  <si>
    <t>6. No one uses a missing or wrong field in a KPI without a documented decision in this file.</t>
  </si>
  <si>
    <t>Decision summary (calculated from the rule sheets)</t>
  </si>
  <si>
    <t>Decision</t>
  </si>
  <si>
    <t>Shipments layer (37 columns)</t>
  </si>
  <si>
    <t>Hospital layer (64 columns)</t>
  </si>
  <si>
    <t>Total dataset columns (101)</t>
  </si>
  <si>
    <t>KPI</t>
  </si>
  <si>
    <t>Flag</t>
  </si>
  <si>
    <t>Dimension</t>
  </si>
  <si>
    <t>Key</t>
  </si>
  <si>
    <t>Not in KPI</t>
  </si>
  <si>
    <t>Total classified columns</t>
  </si>
  <si>
    <t>Approved team decisions</t>
  </si>
  <si>
    <t>Decision needed</t>
  </si>
  <si>
    <t>Proposal</t>
  </si>
  <si>
    <t>Owner</t>
  </si>
  <si>
    <t>Status</t>
  </si>
  <si>
    <t>Does "Partially Received" count as received for PO On-Time Rate?</t>
  </si>
  <si>
    <t>Yes. Received and Partially Received count as received only when received_date is valid. Rejected orders are excluded from the on-time denominator and reported separately.</t>
  </si>
  <si>
    <t>Hossam + Ola</t>
  </si>
  <si>
    <t>Approved</t>
  </si>
  <si>
    <t>Rows outside 1 Jan - 31 Mar 2026</t>
  </si>
  <si>
    <t>Flag Out_of_Period. Exclude strictly from time-sensitive KPIs (e.g., daily Stockout Rate); retain in Raw and Staging layers without deletion.</t>
  </si>
  <si>
    <t>Team</t>
  </si>
  <si>
    <t>Conflicting duplicate po_id (5 groups, differ only in qty_ordered)</t>
  </si>
  <si>
    <t>Keep the first occurrence per po_id. Log the qty_ordered discrepancy in the Duplicate Log. All date fields are identical, so PO Delay and On-Time Rate are unaffected; do not guess a quantity.</t>
  </si>
  <si>
    <t>Yahia + Hossam</t>
  </si>
  <si>
    <t>Fully identical duplicate rows</t>
  </si>
  <si>
    <t>Remove extra copies of fully identical rows from the Clean Working Layer only after logging all duplicates in the Duplicate Log.</t>
  </si>
  <si>
    <t>S09 (RDC) in supplier rankings</t>
  </si>
  <si>
    <t>Separate S09 as an internal Regional Distribution Center / Warehouse; exclude it from commercial supplier rankings.</t>
  </si>
  <si>
    <t>Ola</t>
  </si>
  <si>
    <t>Settled by the KPIs Document</t>
  </si>
  <si>
    <t>"Not given - transferred" is NOT shortage-type. Shortage-type = "Delayed - stock unavailable", "Substitute used", "Not given" (exact match).</t>
  </si>
  <si>
    <t>Data Quality Rules: Shipments table (sheet "in")</t>
  </si>
  <si>
    <t>Counts are computed directly from the source file before any cleaning. Decision tags: KPI = enters a KPI calculation | Flag = kept with a quality flag | Dimension = grouping attribute | Key = key/reference | Not in KPI = kept, not used in any KPI.</t>
  </si>
  <si>
    <t>#</t>
  </si>
  <si>
    <t>Column</t>
  </si>
  <si>
    <t>Rows</t>
  </si>
  <si>
    <t>Null</t>
  </si>
  <si>
    <t>% Null</t>
  </si>
  <si>
    <t>Text instead of number/date</t>
  </si>
  <si>
    <t>Distinct raw</t>
  </si>
  <si>
    <t>Observed issue</t>
  </si>
  <si>
    <t>Rule / handling</t>
  </si>
  <si>
    <t>Serves</t>
  </si>
  <si>
    <t>id</t>
  </si>
  <si>
    <t>Unique key; no duplicates.</t>
  </si>
  <si>
    <t>Row key (grain = one shipment line). Test: COUNT(*) = COUNT(DISTINCT id). Exclusion policy for Total Shipments: none, all rows are kept; invalid values are handled inside each KPI denominator.</t>
  </si>
  <si>
    <t>Total Shipments</t>
  </si>
  <si>
    <t>project code</t>
  </si>
  <si>
    <t>Operational reference (12 values); used only in duplicate checks.</t>
  </si>
  <si>
    <t>Kept as reference; no KPI.</t>
  </si>
  <si>
    <t>PK09</t>
  </si>
  <si>
    <t>pq #</t>
  </si>
  <si>
    <t>Contains status text such as "Pre-PQ Process".</t>
  </si>
  <si>
    <t>Kept as-is.</t>
  </si>
  <si>
    <t>n/a</t>
  </si>
  <si>
    <t>po / so #</t>
  </si>
  <si>
    <t>Repeated values do NOT mean duplicate shipments (one order can have several lines).</t>
  </si>
  <si>
    <t>Reference only; no row is removed because of it.</t>
  </si>
  <si>
    <t>asn/dn #</t>
  </si>
  <si>
    <t>Same as po / so #.</t>
  </si>
  <si>
    <t>Reference only.</t>
  </si>
  <si>
    <t>country</t>
  </si>
  <si>
    <t>Encoding error in 6 rows (CÃ´te d'Ivoire).</t>
  </si>
  <si>
    <t>New column country_clean via a documented mapping; raw value kept; no guessing.</t>
  </si>
  <si>
    <t>Q03, Q06, Q14</t>
  </si>
  <si>
    <t>managed by</t>
  </si>
  <si>
    <t>Single value (PMO - US): no variation.</t>
  </si>
  <si>
    <t>Not usable for analysis; kept.</t>
  </si>
  <si>
    <t>fulfill via</t>
  </si>
  <si>
    <t>Single value (Direct Drop) in all rows; no "From RDC".</t>
  </si>
  <si>
    <t>No comparison between fulfillment routes is possible (one group).</t>
  </si>
  <si>
    <t>Q10, Task 32</t>
  </si>
  <si>
    <t>vendor inco term</t>
  </si>
  <si>
    <t>3 values; no visible issues.</t>
  </si>
  <si>
    <t>Trim/case standardization only.</t>
  </si>
  <si>
    <t>Q03, Q10, Q11</t>
  </si>
  <si>
    <t>shipment mode</t>
  </si>
  <si>
    <t>1 blank; all others are "Air" (single value).</t>
  </si>
  <si>
    <t>Blank stays NULL + flag (Missing Mode); it is not a mode. Mode comparison is impossible (one mode).</t>
  </si>
  <si>
    <t>Q04, Q05, Q12</t>
  </si>
  <si>
    <t>pq first sent to client date</t>
  </si>
  <si>
    <t>21 rows hold the text "Pre-PQ Process" instead of a date.</t>
  </si>
  <si>
    <t>Derived date column (text -&gt; NULL) + status column for the text; text is never converted to a date.</t>
  </si>
  <si>
    <t>po sent to vendor date</t>
  </si>
  <si>
    <t>1 row holds the text "Date Not Captured".</t>
  </si>
  <si>
    <t>Feeds Lead Time on valid rows only; text -&gt; NULL + flag; no date is inferred.</t>
  </si>
  <si>
    <t>Q08, Q09</t>
  </si>
  <si>
    <t>scheduled delivery date</t>
  </si>
  <si>
    <t>All values are valid dates.</t>
  </si>
  <si>
    <t>Feeds Delay Days.</t>
  </si>
  <si>
    <t>Q01, Q02</t>
  </si>
  <si>
    <t>delivered to client date</t>
  </si>
  <si>
    <t>All values are valid dates; defines the time axis.</t>
  </si>
  <si>
    <t>Feeds Delay Days and the Q02 calendar.</t>
  </si>
  <si>
    <t>delivery recorded date</t>
  </si>
  <si>
    <t>Feeds Lead Time Days.</t>
  </si>
  <si>
    <t>Q08</t>
  </si>
  <si>
    <t>product group</t>
  </si>
  <si>
    <t>3 values.</t>
  </si>
  <si>
    <t>Case standardization only.</t>
  </si>
  <si>
    <t>Q21+</t>
  </si>
  <si>
    <t>sub classification</t>
  </si>
  <si>
    <t>2 values.</t>
  </si>
  <si>
    <t>vendor</t>
  </si>
  <si>
    <t>11 vendors; IDA FOUNDATION has 17 lines, most others 1-7. No RDC (fulfill via is a single value).</t>
  </si>
  <si>
    <t>Standardize names. Any vendor ranking needs a minimum sample size.</t>
  </si>
  <si>
    <t>item description</t>
  </si>
  <si>
    <t>17 values.</t>
  </si>
  <si>
    <t>Kept.</t>
  </si>
  <si>
    <t>molecule/test type</t>
  </si>
  <si>
    <t>13 values.</t>
  </si>
  <si>
    <t>brand</t>
  </si>
  <si>
    <t>4 values.</t>
  </si>
  <si>
    <t>dosage</t>
  </si>
  <si>
    <t>8 blanks (genuinely missing).</t>
  </si>
  <si>
    <t>Stays NULL + flag; never filled; not used in any KPI.</t>
  </si>
  <si>
    <t>dosage form</t>
  </si>
  <si>
    <t>7 values.</t>
  </si>
  <si>
    <t>unit of measure (per pack)</t>
  </si>
  <si>
    <t>Numeric, no issues.</t>
  </si>
  <si>
    <t>Kept (reference for quantity conversion).</t>
  </si>
  <si>
    <t>line item quantity</t>
  </si>
  <si>
    <t>Numeric; no blanks, zeros or negatives.</t>
  </si>
  <si>
    <t>Feeds Total Quantity; reconciliation total (PK04).</t>
  </si>
  <si>
    <t>Q01, PK04</t>
  </si>
  <si>
    <t>line item value</t>
  </si>
  <si>
    <t>Feeds Shipment Value USD and the Freight/Value denominator; reconciliation total (PK04).</t>
  </si>
  <si>
    <t>Q02, Q09, Q11, Q12</t>
  </si>
  <si>
    <t>pack price</t>
  </si>
  <si>
    <t>Numeric.</t>
  </si>
  <si>
    <t>Outlier review only (IQR/P90); nothing is deleted.</t>
  </si>
  <si>
    <t>Tasks 23/26</t>
  </si>
  <si>
    <t>unit price</t>
  </si>
  <si>
    <t>Outlier review only; nothing is deleted.</t>
  </si>
  <si>
    <t>manufacturing site</t>
  </si>
  <si>
    <t>18 values.</t>
  </si>
  <si>
    <t>Outside the questions.</t>
  </si>
  <si>
    <t>first line designation</t>
  </si>
  <si>
    <t>Boolean.</t>
  </si>
  <si>
    <t>weight (kilograms)</t>
  </si>
  <si>
    <t>8 rows hold text instead of a number (6 "See ASN" + 2 "Weight Captured Separately"). No zero or negative weights.</t>
  </si>
  <si>
    <t>Numeric column Weight_Kg_Num (text -&gt; NULL) + status column keeping the text; no replacement by zero. Rows with NULL weight are excluded from Freight per Kg and their count is shown.</t>
  </si>
  <si>
    <t>Q13, Freight per Kg</t>
  </si>
  <si>
    <t>freight cost (usd)</t>
  </si>
  <si>
    <t>8 rows hold text instead of a number (6 "See ASN" + 2 "Freight Included in Commodity Cost"). No zero or negative values.</t>
  </si>
  <si>
    <t>Numeric column Freight_Cost_Num + status; text -&gt; NULL. Freight/Value = SUM(Freight) / SUM(Value) over the SAME rows where freight is numeric (numerator and denominator on one row set).</t>
  </si>
  <si>
    <t>Q12, Q13, Q14</t>
  </si>
  <si>
    <t>line item insurance (usd)</t>
  </si>
  <si>
    <t>No blanks in this sample; 0 zero values.</t>
  </si>
  <si>
    <t>Feeds Insurance/Value; a true zero is kept distinct from a missing value; reconciliation total (PK04).</t>
  </si>
  <si>
    <t>Insurance/Value, PK04</t>
  </si>
  <si>
    <t>batch_number</t>
  </si>
  <si>
    <t>Extra column vs the original data; 3 blanks.</t>
  </si>
  <si>
    <t>Out of scope (Task 12).</t>
  </si>
  <si>
    <t>expiry_date</t>
  </si>
  <si>
    <t>Extra column; 2 blanks.</t>
  </si>
  <si>
    <t>customs_clearance_days</t>
  </si>
  <si>
    <t>Extra column; 1 blank and 2 texts such as "3 days" and "~6".</t>
  </si>
  <si>
    <t>receiving_inspection_result</t>
  </si>
  <si>
    <t>Extra column; 6 blanks.</t>
  </si>
  <si>
    <t>Delay Days check (delivered - scheduled)</t>
  </si>
  <si>
    <t>Late (&gt; 0)</t>
  </si>
  <si>
    <t>On time (= 0)</t>
  </si>
  <si>
    <t>Early (&lt; 0)</t>
  </si>
  <si>
    <t>Total</t>
  </si>
  <si>
    <t>Late Rate</t>
  </si>
  <si>
    <t>On-Time Rate (1 - Late Rate)</t>
  </si>
  <si>
    <t>Largest early arrival: -169 days (reviewed, not deleted). Median Delay = 0, which does NOT mean "no delay"; here it means no late shipment exists in the sample. On-Time Rate = 100% follows from the project definition (zero and negative Delay Days count as not late). Lead Time computable on 45 of 46 rows. Freight per Kg computable on 38 rows with both values numeric.</t>
  </si>
  <si>
    <t>Data Quality Rules: Hospital layer (inventory_daily, purchase_orders, patient_cases + reference tables)</t>
  </si>
  <si>
    <t>Hospital layer is described in the data file as synthetic/illustrative. Counts are pre-cleaning. A negative count is not always an error (e.g. negative stock_adjustment_qty is a legitimate adjustment).</t>
  </si>
  <si>
    <t>Table</t>
  </si>
  <si>
    <t>Negative</t>
  </si>
  <si>
    <t>inventory_daily</t>
  </si>
  <si>
    <t>record_id</t>
  </si>
  <si>
    <t>162 excess duplicates on record_id (162 rows are fully identical to another row; 0 conflicting groups).</t>
  </si>
  <si>
    <t>Fully identical rows are removed from the clean copy only, after being logged. See Scope_Rules for the full duplicate policy.</t>
  </si>
  <si>
    <t>All inventory KPIs</t>
  </si>
  <si>
    <t>date</t>
  </si>
  <si>
    <t>Mixed formats: ISO 10,225, dd/mm/yyyy 417, dd-Mon-yy 108, Excel serial 43. Slash dates: 417 values, 231 have day &gt; 12 and 0 have month &gt; 12, so the format is confirmed as dd/mm/yyyy. 43 rows fall outside 1 Jan - 31 Mar 2026.</t>
  </si>
  <si>
    <t>Standardize to one date type; parse every slash date explicitly with format='%d/%m/%Y' (dd/mm/yyyy), never locale/default parsing. Out-of-period rows get an Out_of_Period flag and are not deleted; exclude only from time-sensitive KPIs.</t>
  </si>
  <si>
    <t>Q17</t>
  </si>
  <si>
    <t>hospital_id</t>
  </si>
  <si>
    <t>17 raw spellings (H_A, h-a, "H-A " ...). After standardization: ['H-A', 'H-B', 'H-C', 'H-D', 'H-E']. 23 rows carry H-E, which is not in the hospitals table.</t>
  </si>
  <si>
    <t>trim + upper + replace _ with -; H-E is flagged Orphan and never merged by guessing.</t>
  </si>
  <si>
    <t>item_id</t>
  </si>
  <si>
    <t>93 raw spellings, 33 after trim + upper. 35 rows have codes outside I001-I030 (e.g. I3O1, I099).</t>
  </si>
  <si>
    <t>trim + upper; invalid codes get Invalid_Item and are not corrected by guessing (I3O1 is not auto-mapped to I301).</t>
  </si>
  <si>
    <t>Q17, Q18</t>
  </si>
  <si>
    <t>opening_stock</t>
  </si>
  <si>
    <t>Numeric; no blanks or negatives.</t>
  </si>
  <si>
    <t>received_qty</t>
  </si>
  <si>
    <t>Blanks + negative values (a negative receipt is illogical).</t>
  </si>
  <si>
    <t>Negatives are flagged Negative_Received; not corrected without evidence.</t>
  </si>
  <si>
    <t>requested_qty</t>
  </si>
  <si>
    <t>Blanks.</t>
  </si>
  <si>
    <t>NULL stays NULL; used in request/dispensed/unmet consistency.</t>
  </si>
  <si>
    <t>dispensed_qty</t>
  </si>
  <si>
    <t>unmet_demand_qty</t>
  </si>
  <si>
    <t>1,678 blank rows. Blank share by hospital after standardization: H-A 3%, H-B 2%, H-C 56%, H-D 3% (not random; concentrated in one hospital). 18 of 8,742 rows: requested != dispensed + unmet.</t>
  </si>
  <si>
    <t>Blank stays NULL (not 0). Excluded from the Stockout Rate denominator and the exclusion count is reported; never filled with an average. Inconsistent rows are flagged.</t>
  </si>
  <si>
    <t>Q17, Q18, Stockout Rate</t>
  </si>
  <si>
    <t>expired_writeoff_qty</t>
  </si>
  <si>
    <t>damaged_lost_qty</t>
  </si>
  <si>
    <t>stock_adjustment_qty</t>
  </si>
  <si>
    <t>Many negatives; these are legitimate adjustments, not errors.</t>
  </si>
  <si>
    <t>Negatives are not modified.</t>
  </si>
  <si>
    <t>closing_stock</t>
  </si>
  <si>
    <t>Blanks + text (-, ?, thousands separators such as 1,306) + negatives.</t>
  </si>
  <si>
    <t>Not a headline KPI; numeric conversion only by a documented rule (remove thousands separator), the rest NULL + flag.</t>
  </si>
  <si>
    <t>stock_value_egp</t>
  </si>
  <si>
    <t>Blanks + text like "EGP 6,754.00".</t>
  </si>
  <si>
    <t>Not used by KPIs; if needed: strip prefix and separator by a documented rule.</t>
  </si>
  <si>
    <t>avg_daily_dispensed_7d</t>
  </si>
  <si>
    <t>days_of_cover</t>
  </si>
  <si>
    <t>Blanks + text with decimal comma (e.g. 4,3).</t>
  </si>
  <si>
    <t>Not used by the 22 questions; converted only if a KPI is added.</t>
  </si>
  <si>
    <t>fill_rate_pct</t>
  </si>
  <si>
    <t>127 rows &gt; 100% (illogical as a fill rate).</t>
  </si>
  <si>
    <t>Flagged FillRate_GT100; not capped at 100.</t>
  </si>
  <si>
    <t>stock_expiring_30d_qty</t>
  </si>
  <si>
    <t>reorder_point</t>
  </si>
  <si>
    <t>stockout_flag</t>
  </si>
  <si>
    <t>6 formats (0: 8,970, 1: 1,620, Y: 65, FALSE: 48, TRUE: 46, N: 44).</t>
  </si>
  <si>
    <t>NOT used as a source. Stockout is recomputed as (unmet_demand_qty &gt; 0) per the KPI Document and compared; any difference is documented.</t>
  </si>
  <si>
    <t>purchase_orders</t>
  </si>
  <si>
    <t>po_id</t>
  </si>
  <si>
    <t>24 excess duplicates (19 fully identical rows; 5 conflicting groups differing only in qty_ordered).</t>
  </si>
  <si>
    <t>See Scope_Rules duplicate policy: identical rows removed after logging; conflicting groups keep the first occurrence and log the quantity conflict.</t>
  </si>
  <si>
    <t>Q15, Q16</t>
  </si>
  <si>
    <t>order_date</t>
  </si>
  <si>
    <t>Mixed formats: ISO 2,095, dd/mm/yyyy 61, dd-Mon-yy 23, Excel serial 8; 4 rows outside the period (e.g. 2025/2027).</t>
  </si>
  <si>
    <t>Parse slash dates explicitly with format='%d/%m/%Y' (dd/mm/yyyy), then standardize to one date type; out-of-period rows are flagged, not deleted.</t>
  </si>
  <si>
    <t>17 raw spellings; 4 rows with a code outside H-A..H-D.</t>
  </si>
  <si>
    <t>Same standardization rule.</t>
  </si>
  <si>
    <t>Q15-Q17</t>
  </si>
  <si>
    <t>32 raw values; 8 rows outside I001-I030.</t>
  </si>
  <si>
    <t>trim + upper; invalid codes get Invalid_Item.</t>
  </si>
  <si>
    <t>Q15, Q18</t>
  </si>
  <si>
    <t>supplier_id</t>
  </si>
  <si>
    <t>9 values: S01-S08 plus S09 (SCMS regional distribution center) in 1 row.</t>
  </si>
  <si>
    <t>S09 is a regional warehouse, not a real supplier: flagged and kept out of supplier rankings.</t>
  </si>
  <si>
    <t>Q15</t>
  </si>
  <si>
    <t>supplier_name_raw</t>
  </si>
  <si>
    <t>25 raw name spellings for the suppliers.</t>
  </si>
  <si>
    <t>Analysis uses supplier_id; the raw name is for review only (Task 29: verify each spelling maps to exactly one supplier_id).</t>
  </si>
  <si>
    <t>qty_ordered</t>
  </si>
  <si>
    <t>Negative values (a negative order quantity is illogical).</t>
  </si>
  <si>
    <t>Flagged, not corrected without evidence.</t>
  </si>
  <si>
    <t>expected_delivery_date</t>
  </si>
  <si>
    <t>All values are valid ISO dates.</t>
  </si>
  <si>
    <t>Feeds PO Delay Days and PO On-Time Rate.</t>
  </si>
  <si>
    <t>received_date</t>
  </si>
  <si>
    <t>Blank for unreceived orders (expected for In Transit). But 25 Received/Partially Received rows have NO date and 1 In Transit row HAS a date (raw rows).</t>
  </si>
  <si>
    <t>Blank stays NULL. A PO delay is computed only for "valid received POs" as defined in Scope_Rules. Status/date conflicts are flagged Status_Date_Conflict and excluded from the denominator with the count reported.</t>
  </si>
  <si>
    <t>qty_received</t>
  </si>
  <si>
    <t>Blanks + text.</t>
  </si>
  <si>
    <t>NULL + flag; never filled.</t>
  </si>
  <si>
    <t>unit_cost_egp</t>
  </si>
  <si>
    <t>23 rows in "$..." format (dollar sign inside an EGP column) plus other text.</t>
  </si>
  <si>
    <t>No currency conversion by guessing; flagged Currency_Mismatch. Note: Unmet Demand EGP uses items.unit_cost_egp, not this column.</t>
  </si>
  <si>
    <t>Q18 (indirect)</t>
  </si>
  <si>
    <t>po_status</t>
  </si>
  <si>
    <t>14 raw spellings standardize to 4 statuses: Received 1,758, Partially Received 251, In Transit 170, Rejected 8.</t>
  </si>
  <si>
    <t>trim + case standardization; before/after counts report; meaning unchanged. Defines "received" (see Scope_Rules).</t>
  </si>
  <si>
    <t>patient_cases</t>
  </si>
  <si>
    <t>case_id</t>
  </si>
  <si>
    <t>67 excess duplicates (67 fully identical rows; 0 conflicting groups).</t>
  </si>
  <si>
    <t>Same duplicate policy.</t>
  </si>
  <si>
    <t>Q19-Q21</t>
  </si>
  <si>
    <t>17 raw spellings; 10 rows outside H-A..H-D.</t>
  </si>
  <si>
    <t>Q21</t>
  </si>
  <si>
    <t>admission_date</t>
  </si>
  <si>
    <t>Mixed formats: ISO 5,379, dd/mm/yyyy 223, dd-Mon-yy 50, Excel serial 13; 4 rows outside the period.</t>
  </si>
  <si>
    <t>Parse slash dates explicitly with format='%d/%m/%Y' (dd/mm/yyyy), then standardize to one date type; out-of-period rows are flagged.</t>
  </si>
  <si>
    <t>Q19, Q20, Q21</t>
  </si>
  <si>
    <t>age_years</t>
  </si>
  <si>
    <t>Blanks + text + negative ages.</t>
  </si>
  <si>
    <t>Not used by questions; negatives flagged.</t>
  </si>
  <si>
    <t>gender</t>
  </si>
  <si>
    <t>8 spellings + blanks.</t>
  </si>
  <si>
    <t>Not used by questions; standardize only if an analysis is added.</t>
  </si>
  <si>
    <t>diagnosis</t>
  </si>
  <si>
    <t>33 raw values that differ in spelling: needs a mapping.</t>
  </si>
  <si>
    <t>Documented mapping table; two different diseases are never merged on visual similarity (review in Task 27).</t>
  </si>
  <si>
    <t>severity</t>
  </si>
  <si>
    <t>Text values (Low/Moderate/High) plus 107 numeric rows (1/2/3) + 247 blanks.</t>
  </si>
  <si>
    <t>1/2/3 -&gt; Low/Moderate/High per the plan; blanks stay NULL.</t>
  </si>
  <si>
    <t>Q20, Q21</t>
  </si>
  <si>
    <t>key_drug_item_id</t>
  </si>
  <si>
    <t>36 raw values; 22 rows outside I001-I030.</t>
  </si>
  <si>
    <t>trim + upper; invalid codes flagged.</t>
  </si>
  <si>
    <t>treatment_status</t>
  </si>
  <si>
    <t>6 clean categories already: Given on time 4,515, Substitute used 367, Delayed - stock unavailable 308, Delayed - other cause 267, Not given - transferred 105, Not given 103.</t>
  </si>
  <si>
    <t>No spelling change. Per the KPI Document, shortage-type = EXACTLY "Delayed - stock unavailable", "Substitute used" or "Not given". "Not given - transferred" is NOT shortage-type. Use exact match, never "contains".</t>
  </si>
  <si>
    <t>Q19-Q21, Shortage Mortality</t>
  </si>
  <si>
    <t>treatment_delay_hours</t>
  </si>
  <si>
    <t>Blanks + text + negative values.</t>
  </si>
  <si>
    <t>NULL stays NULL; negatives flagged, not deleted; report the median with n.</t>
  </si>
  <si>
    <t>Q19</t>
  </si>
  <si>
    <t>icu_admission</t>
  </si>
  <si>
    <t>6 spellings (Y/N/y/n/Yes/No).</t>
  </si>
  <si>
    <t>Standardize to Y/N.</t>
  </si>
  <si>
    <t>Q20</t>
  </si>
  <si>
    <t>complication</t>
  </si>
  <si>
    <t>4 spellings (Y/N/Yes/No).</t>
  </si>
  <si>
    <t>length_of_stay_days</t>
  </si>
  <si>
    <t>NULL stays NULL; negatives flagged.</t>
  </si>
  <si>
    <t>discharge_date</t>
  </si>
  <si>
    <t>Blank for cases not discharged (Still admitted).</t>
  </si>
  <si>
    <t>Blank stays NULL; check admission &lt;= discharge.</t>
  </si>
  <si>
    <t>outcome</t>
  </si>
  <si>
    <t>39 blanks + 4 values: Recovered / Died / Still admitted / Transferred out.</t>
  </si>
  <si>
    <t>Blank stays NULL. Shortage Mortality = Died / (Died + Recovered) per the KPI Document, compared within each severity level; the denominator is always shown.</t>
  </si>
  <si>
    <t>Q20, Q22</t>
  </si>
  <si>
    <t>items</t>
  </si>
  <si>
    <t>30 unique IDs, I001-I030.</t>
  </si>
  <si>
    <t>Master key for item joins; the join excludes invalid item codes from other tables.</t>
  </si>
  <si>
    <t>item_name</t>
  </si>
  <si>
    <t>Descriptive.</t>
  </si>
  <si>
    <t>category</t>
  </si>
  <si>
    <t>18 distinct values, already clean (genuine categories, no spelling variants).</t>
  </si>
  <si>
    <t>No cleaning needed.</t>
  </si>
  <si>
    <t>Q17, Q18, Q21</t>
  </si>
  <si>
    <t>criticality</t>
  </si>
  <si>
    <t>Critical 14 / Essential 16; no blanks.</t>
  </si>
  <si>
    <t>Used to split stockout by criticality.</t>
  </si>
  <si>
    <t>unit</t>
  </si>
  <si>
    <t>Checked: 0 blanks, 0 non-numeric or &lt;= 0 values. Clean.</t>
  </si>
  <si>
    <t>Feeds Unmet Demand EGP = SUM(unmet_demand_qty x unit_cost_egp). The value is an estimate, not a confirmed loss. Not calculated if quantity or cost is missing/invalid.</t>
  </si>
  <si>
    <t>Q18</t>
  </si>
  <si>
    <t>shelf_life_days</t>
  </si>
  <si>
    <t>cold_chain</t>
  </si>
  <si>
    <t>Y/N.</t>
  </si>
  <si>
    <t>default_supplier_id</t>
  </si>
  <si>
    <t>Reference to suppliers.</t>
  </si>
  <si>
    <t>Referential check against suppliers.</t>
  </si>
  <si>
    <t>baseline_lead_time_days</t>
  </si>
  <si>
    <t>suppliers</t>
  </si>
  <si>
    <t>9 IDs: S01-S08 + S09 (RDC).</t>
  </si>
  <si>
    <t>S09 flagged as regional warehouse.</t>
  </si>
  <si>
    <t>supplier_name</t>
  </si>
  <si>
    <t>historical_on_time_rate</t>
  </si>
  <si>
    <t>Numeric benchmark (0.80-0.95).</t>
  </si>
  <si>
    <t>Reference benchmark only; NOT a measured value and not a substitute for PO On-Time Rate computed from purchase_orders.</t>
  </si>
  <si>
    <t>hospitals</t>
  </si>
  <si>
    <t>4 IDs: H-A..H-D.</t>
  </si>
  <si>
    <t>Master key; H-E in the fact tables is an orphan.</t>
  </si>
  <si>
    <t>Q17, Q21</t>
  </si>
  <si>
    <t>hospital_name</t>
  </si>
  <si>
    <t>hospital_type</t>
  </si>
  <si>
    <t>Teaching / General / District / Specialty.</t>
  </si>
  <si>
    <t>beds</t>
  </si>
  <si>
    <t>Scope, duplicate policy, "received PO" rule and valid-row definitions</t>
  </si>
  <si>
    <t>A. Scope: approved in the plan vs found in the data</t>
  </si>
  <si>
    <t>Approved scope</t>
  </si>
  <si>
    <t>Found in the data (raw)</t>
  </si>
  <si>
    <t>Impact / decision</t>
  </si>
  <si>
    <t>Items</t>
  </si>
  <si>
    <t>I001-I030 (30 items)</t>
  </si>
  <si>
    <t>inventory: 93 raw spellings -&gt; 33 after standardization; rows with a code outside scope: inventory 35 / PO 8 / cases 22</t>
  </si>
  <si>
    <t>Flag Invalid_Item; never corrected by guessing</t>
  </si>
  <si>
    <t>Suppliers</t>
  </si>
  <si>
    <t>S01-S08 (8 suppliers)</t>
  </si>
  <si>
    <t>suppliers table includes S09 (RDC); it appears in 1 PO row</t>
  </si>
  <si>
    <t>S09 is an internal Regional Distribution Center / Warehouse; exclude from commercial supplier rankings.</t>
  </si>
  <si>
    <t>Hospitals</t>
  </si>
  <si>
    <t>H-A to H-D (4)</t>
  </si>
  <si>
    <t>17 raw spellings of the 4 + H-E; rows with an invalid code: inventory 23 / PO 4 / cases 10</t>
  </si>
  <si>
    <t>Standardize spellings; flag H-E as Orphan</t>
  </si>
  <si>
    <t>Period</t>
  </si>
  <si>
    <t>1 Jan - 31 Mar 2026</t>
  </si>
  <si>
    <t>inventory 2025-01-06 to 2027-03-30 (43 outside) | PO 2025-01-31 to 2027-03-05 (4 outside) | cases 2026-01-01 to 2027-02-09 (4 outside)</t>
  </si>
  <si>
    <t>Flag Out_of_Period; exclude strictly from time-sensitive KPIs only; retain all rows in Raw and Staging without deletion. Decision approved.</t>
  </si>
  <si>
    <t>Slash-date format</t>
  </si>
  <si>
    <t>dd/mm/yyyy</t>
  </si>
  <si>
    <t>inventory: 231 of 417 slash dates have day &gt; 12; none has month &gt; 12</t>
  </si>
  <si>
    <t>dd/mm/yyyy confirmed; no ambiguity</t>
  </si>
  <si>
    <t>Date parsing enforcement</t>
  </si>
  <si>
    <t>All slash dates (dd/mm/yyyy)</t>
  </si>
  <si>
    <t>Slash-formatted date values across the datasets</t>
  </si>
  <si>
    <t>Parse explicitly with format='%d/%m/%Y'; do not use locale/default date parsing or infer mm/dd/yyyy. Apply consistently in staging/cleaning.</t>
  </si>
  <si>
    <t>B. Duplicate policy (supports PK09: duplicate rate after cleaning = remaining duplicate keys / total rows, target 0%)</t>
  </si>
  <si>
    <t>Excess duplicate rows</t>
  </si>
  <si>
    <t>Fully identical rows</t>
  </si>
  <si>
    <t>Conflicting groups</t>
  </si>
  <si>
    <t>Rule</t>
  </si>
  <si>
    <t>All duplicates are fully identical: remove the extra copies from the clean table after logging.</t>
  </si>
  <si>
    <t>Fully identical rows: remove extra copies from the Clean Working Layer after logging. Conflicting groups differ only in qty_ordered; date fields are identical, so PO Delay / On-Time Rate are unaffected. Keep the first occurrence per po_id and log the quantity discrepancy in the Duplicate Log; never guess quantity.</t>
  </si>
  <si>
    <t>Identical rows: remove after logging. Conflicting groups differ only in qty_ordered; all date fields are identical, so PO Delay / On-Time are unaffected. Keep the first occurrence per po_id and log the quantity conflict in the Duplicate Log. No quantity is chosen by guessing.</t>
  </si>
  <si>
    <t>C. Purchase-order status vs received_date (raw rows, before duplicate removal)</t>
  </si>
  <si>
    <t>po_status (standardized)</t>
  </si>
  <si>
    <t>With received_date</t>
  </si>
  <si>
    <t>Without received_date</t>
  </si>
  <si>
    <t>Handling</t>
  </si>
  <si>
    <t>Received</t>
  </si>
  <si>
    <t>With date: eligible. Without date: Status_Date_Conflict, excluded from PO On-Time denominator.</t>
  </si>
  <si>
    <t>Partially Received</t>
  </si>
  <si>
    <t>Counted as received when received_date is valid; decision approved. Without date: Status_Date_Conflict, excluded from the denominator.</t>
  </si>
  <si>
    <t>In Transit</t>
  </si>
  <si>
    <t>Unreceived: not late and not on time. A row WITH a date is a Status_Date_Conflict.</t>
  </si>
  <si>
    <t>Rejected</t>
  </si>
  <si>
    <t>Rejected: excluded from PO On-Time denominator and reported separately.</t>
  </si>
  <si>
    <t>D. Valid-row definitions used as KPI denominators</t>
  </si>
  <si>
    <t>Valid row definition</t>
  </si>
  <si>
    <t>Valid rows</t>
  </si>
  <si>
    <t>PO Delay Days / PO On-Time Rate</t>
  </si>
  <si>
    <t>po_status in {Received, Partially Received} AND received_date valid AND expected_delivery_date valid AND not a duplicate po_id (first occurrence kept); partially received counts as received.</t>
  </si>
  <si>
    <t>Stockout Rate / Stockout Day Flag</t>
  </si>
  <si>
    <t>Not a duplicate record_id AND hospital in H-A..H-D AND item in I001-I030 AND date parseable within 1 Jan–31 Mar 2026 AND unmet_demand_qty not NULL.</t>
  </si>
  <si>
    <t>Late Rate (shipments)</t>
  </si>
  <si>
    <t>scheduled and delivered dates both valid</t>
  </si>
  <si>
    <t>Lead Time Days</t>
  </si>
  <si>
    <t>po sent to vendor date and delivery recorded date both valid</t>
  </si>
  <si>
    <t>Freight per Kg</t>
  </si>
  <si>
    <t>freight and weight both numeric</t>
  </si>
  <si>
    <t>Inventory rows after removing duplicate record_id: 10,631.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</si>
</sst>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rgb="FF000000"/>
      <name val="Arial"/>
      <scheme val="minor"/>
    </font>
    <font>
      <b/>
      <sz val="13.0"/>
      <name val="Arial"/>
    </font>
    <font>
      <sz val="10.0"/>
      <name val="Arial"/>
    </font>
    <font>
      <b/>
      <sz val="11.0"/>
      <name val="Arial"/>
    </font>
    <font>
      <b/>
      <sz val="10.0"/>
      <color rgb="FFFFFFFF"/>
      <name val="Arial"/>
    </font>
    <font>
      <b/>
      <sz val="10.0"/>
      <name val="Arial"/>
    </font>
    <font>
      <sz val="11.0"/>
      <name val="Calibri"/>
    </font>
    <font>
      <i/>
      <sz val="9.0"/>
      <name val="Arial"/>
    </font>
  </fonts>
  <fills count="8">
    <fill>
      <patternFill patternType="none"/>
    </fill>
    <fill>
      <patternFill patternType="lightGray"/>
    </fill>
    <fill>
      <patternFill patternType="solid">
        <fgColor rgb="FF1F3864"/>
        <bgColor rgb="FF1F3864"/>
      </patternFill>
    </fill>
    <fill>
      <patternFill patternType="solid">
        <fgColor rgb="FFC6E0B4"/>
        <bgColor rgb="FFC6E0B4"/>
      </patternFill>
    </fill>
    <fill>
      <patternFill patternType="solid">
        <fgColor rgb="FFFFE699"/>
        <bgColor rgb="FFFFE699"/>
      </patternFill>
    </fill>
    <fill>
      <patternFill patternType="solid">
        <fgColor rgb="FFBDD7EE"/>
        <bgColor rgb="FFBDD7EE"/>
      </patternFill>
    </fill>
    <fill>
      <patternFill patternType="solid">
        <fgColor rgb="FFD9D2E9"/>
        <bgColor rgb="FFD9D2E9"/>
      </patternFill>
    </fill>
    <fill>
      <patternFill patternType="solid">
        <fgColor rgb="FFE7E6E6"/>
        <bgColor rgb="FFE7E6E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horizontal="left" shrinkToFit="0" vertical="top" wrapText="1"/>
    </xf>
    <xf borderId="1" fillId="2" fontId="4" numFmtId="0" xfId="0" applyAlignment="1" applyBorder="1" applyFill="1" applyFont="1">
      <alignment horizontal="center" shrinkToFit="0" vertical="top" wrapText="1"/>
    </xf>
    <xf borderId="1" fillId="3" fontId="5"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4" fontId="5" numFmtId="0" xfId="0" applyAlignment="1" applyBorder="1" applyFill="1" applyFont="1">
      <alignment horizontal="center" shrinkToFit="0" vertical="top" wrapText="1"/>
    </xf>
    <xf borderId="1" fillId="5" fontId="5"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xf borderId="1" fillId="7" fontId="5" numFmtId="0" xfId="0" applyAlignment="1" applyBorder="1" applyFill="1" applyFont="1">
      <alignment horizontal="center" shrinkToFit="0" vertical="top" wrapText="1"/>
    </xf>
    <xf borderId="1" fillId="0" fontId="5"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0" fillId="0" fontId="6" numFmtId="0" xfId="0" applyFont="1"/>
    <xf borderId="0" fillId="0" fontId="7" numFmtId="0" xfId="0" applyFont="1"/>
    <xf borderId="1" fillId="0" fontId="2" numFmtId="3" xfId="0" applyAlignment="1" applyBorder="1" applyFont="1" applyNumberFormat="1">
      <alignment horizontal="center" shrinkToFit="0" vertical="top" wrapText="1"/>
    </xf>
    <xf borderId="1" fillId="0" fontId="2" numFmtId="164" xfId="0" applyAlignment="1" applyBorder="1" applyFont="1" applyNumberFormat="1">
      <alignment horizontal="center" shrinkToFit="0" vertical="top" wrapText="1"/>
    </xf>
    <xf borderId="1" fillId="6" fontId="5" numFmtId="0" xfId="0" applyAlignment="1" applyBorder="1" applyFill="1" applyFont="1">
      <alignment horizontal="left" shrinkToFit="0" vertical="top" wrapText="1"/>
    </xf>
    <xf borderId="1" fillId="7" fontId="5" numFmtId="0" xfId="0" applyAlignment="1" applyBorder="1" applyFill="1" applyFont="1">
      <alignment horizontal="left" shrinkToFit="0" vertical="top" wrapText="1"/>
    </xf>
    <xf borderId="1" fillId="5" fontId="5" numFmtId="0" xfId="0" applyAlignment="1" applyBorder="1" applyFill="1" applyFont="1">
      <alignment horizontal="left" shrinkToFit="0" vertical="top" wrapText="1"/>
    </xf>
    <xf borderId="1" fillId="4" fontId="5" numFmtId="0" xfId="0" applyAlignment="1" applyBorder="1" applyFill="1" applyFont="1">
      <alignment horizontal="left" shrinkToFit="0" vertical="top" wrapText="1"/>
    </xf>
    <xf borderId="1" fillId="3" fontId="5" numFmtId="0" xfId="0" applyAlignment="1" applyBorder="1" applyFill="1" applyFont="1">
      <alignment horizontal="left" shrinkToFit="0" vertical="top" wrapText="1"/>
    </xf>
    <xf borderId="0" fillId="0" fontId="5" numFmtId="0" xfId="0" applyFont="1"/>
    <xf borderId="0" fillId="0" fontId="5"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a:gradFill>
        <a:gradFill>
          <a:gsLst>
            <a:gs pos="0">
              <a:schemeClr val="phClr">
                <a:tint val="80000"/>
              </a:schemeClr>
            </a:gs>
            <a:gs pos="100000">
              <a:schemeClr val="phClr">
                <a:shade val="30000"/>
              </a:schemeClr>
            </a:gs>
          </a:gsLst>
          <a:path path="circle">
            <a:fillToRect b="50000" l="50000" r="50000" t="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0"/>
    <col customWidth="1" min="2" max="2" width="60.0"/>
    <col customWidth="1" min="3" max="3" width="22.0"/>
    <col customWidth="1" min="4" max="4" width="16.0"/>
    <col customWidth="1" min="5" max="11" width="8.57"/>
  </cols>
  <sheetData>
    <row r="1" ht="17.25" customHeight="1">
      <c r="A1" s="1" t="s">
        <v>0</v>
      </c>
    </row>
    <row r="2">
      <c r="A2" s="2" t="s">
        <v>1</v>
      </c>
    </row>
    <row r="4">
      <c r="A4" s="3" t="s">
        <v>2</v>
      </c>
    </row>
    <row r="5" ht="21.75" customHeight="1">
      <c r="A5" s="4" t="s">
        <v>3</v>
      </c>
    </row>
    <row r="6" ht="21.75" customHeight="1">
      <c r="A6" s="4" t="s">
        <v>4</v>
      </c>
    </row>
    <row r="7" ht="21.75" customHeight="1">
      <c r="A7" s="4" t="s">
        <v>5</v>
      </c>
    </row>
    <row r="8" ht="21.75" customHeight="1">
      <c r="A8" s="4" t="s">
        <v>6</v>
      </c>
    </row>
    <row r="9" ht="21.75" customHeight="1">
      <c r="A9" s="4" t="s">
        <v>7</v>
      </c>
    </row>
    <row r="10" ht="21.75" customHeight="1">
      <c r="A10" s="4" t="s">
        <v>8</v>
      </c>
    </row>
    <row r="12">
      <c r="A12" s="3" t="s">
        <v>9</v>
      </c>
    </row>
    <row r="13">
      <c r="A13" s="5" t="s">
        <v>10</v>
      </c>
      <c r="B13" s="5" t="s">
        <v>11</v>
      </c>
      <c r="C13" s="5" t="s">
        <v>12</v>
      </c>
      <c r="D13" s="5" t="s">
        <v>13</v>
      </c>
    </row>
    <row r="14">
      <c r="A14" s="6" t="s">
        <v>14</v>
      </c>
      <c r="B14" s="7" t="str">
        <f>COUNTIF(Shipments_Rules!$I$5:$I$41,A14)</f>
        <v>9</v>
      </c>
      <c r="C14" s="7" t="str">
        <f>COUNTIF(Hospital_Rules!$K$5:$K$68,A14)</f>
        <v>14</v>
      </c>
      <c r="D14" s="7" t="str">
        <f t="shared" ref="D14:D18" si="1">B14+C14</f>
        <v>23</v>
      </c>
    </row>
    <row r="15">
      <c r="A15" s="8" t="s">
        <v>15</v>
      </c>
      <c r="B15" s="7" t="str">
        <f>COUNTIF(Shipments_Rules!$I$5:$I$41,A15)</f>
        <v>5</v>
      </c>
      <c r="C15" s="7" t="str">
        <f>COUNTIF(Hospital_Rules!$K$5:$K$68,A15)</f>
        <v>11</v>
      </c>
      <c r="D15" s="7" t="str">
        <f t="shared" si="1"/>
        <v>16</v>
      </c>
    </row>
    <row r="16">
      <c r="A16" s="9" t="s">
        <v>16</v>
      </c>
      <c r="B16" s="7" t="str">
        <f>COUNTIF(Shipments_Rules!$I$5:$I$41,A16)</f>
        <v>9</v>
      </c>
      <c r="C16" s="7" t="str">
        <f>COUNTIF(Hospital_Rules!$K$5:$K$68,A16)</f>
        <v>8</v>
      </c>
      <c r="D16" s="7" t="str">
        <f t="shared" si="1"/>
        <v>17</v>
      </c>
    </row>
    <row r="17">
      <c r="A17" s="10" t="s">
        <v>17</v>
      </c>
      <c r="B17" s="7" t="str">
        <f>COUNTIF(Shipments_Rules!$I$5:$I$41,A17)</f>
        <v>4</v>
      </c>
      <c r="C17" s="7" t="str">
        <f>COUNTIF(Hospital_Rules!$K$5:$K$68,A17)</f>
        <v>14</v>
      </c>
      <c r="D17" s="7" t="str">
        <f t="shared" si="1"/>
        <v>18</v>
      </c>
    </row>
    <row r="18">
      <c r="A18" s="11" t="s">
        <v>18</v>
      </c>
      <c r="B18" s="7" t="str">
        <f>COUNTIF(Shipments_Rules!$I$5:$I$41,A18)</f>
        <v>10</v>
      </c>
      <c r="C18" s="7" t="str">
        <f>COUNTIF(Hospital_Rules!$K$5:$K$68,A18)</f>
        <v>17</v>
      </c>
      <c r="D18" s="7" t="str">
        <f t="shared" si="1"/>
        <v>27</v>
      </c>
    </row>
    <row r="19">
      <c r="A19" s="12" t="s">
        <v>19</v>
      </c>
      <c r="B19" s="12" t="str">
        <f t="shared" ref="B19:D19" si="2">SUM(B14:B18)</f>
        <v>37</v>
      </c>
      <c r="C19" s="12" t="str">
        <f t="shared" si="2"/>
        <v>64</v>
      </c>
      <c r="D19" s="12" t="str">
        <f t="shared" si="2"/>
        <v>101</v>
      </c>
    </row>
    <row r="21" ht="15.75" customHeight="1">
      <c r="A21" s="3" t="s">
        <v>20</v>
      </c>
    </row>
    <row r="22" ht="15.75" customHeight="1">
      <c r="A22" s="5" t="s">
        <v>21</v>
      </c>
      <c r="B22" s="5" t="s">
        <v>22</v>
      </c>
      <c r="C22" s="5" t="s">
        <v>23</v>
      </c>
      <c r="D22" s="5" t="s">
        <v>24</v>
      </c>
    </row>
    <row r="23" ht="15.75" customHeight="1">
      <c r="A23" s="7" t="s">
        <v>25</v>
      </c>
      <c r="B23" s="13" t="s">
        <v>26</v>
      </c>
      <c r="C23" s="13" t="s">
        <v>27</v>
      </c>
      <c r="D23" s="13" t="s">
        <v>28</v>
      </c>
    </row>
    <row r="24" ht="15.75" customHeight="1">
      <c r="A24" s="7" t="s">
        <v>29</v>
      </c>
      <c r="B24" s="13" t="s">
        <v>30</v>
      </c>
      <c r="C24" s="13" t="s">
        <v>31</v>
      </c>
      <c r="D24" s="13" t="s">
        <v>28</v>
      </c>
    </row>
    <row r="25" ht="24.75" customHeight="1">
      <c r="A25" s="7" t="s">
        <v>32</v>
      </c>
      <c r="B25" s="13" t="s">
        <v>33</v>
      </c>
      <c r="C25" s="13" t="s">
        <v>34</v>
      </c>
      <c r="D25" s="13" t="s">
        <v>28</v>
      </c>
    </row>
    <row r="26" ht="15.75" customHeight="1">
      <c r="A26" s="7" t="s">
        <v>35</v>
      </c>
      <c r="B26" s="13" t="s">
        <v>36</v>
      </c>
      <c r="C26" s="13" t="s">
        <v>34</v>
      </c>
      <c r="D26" s="13" t="s">
        <v>28</v>
      </c>
    </row>
    <row r="27" ht="15.75" customHeight="1">
      <c r="A27" s="7" t="s">
        <v>37</v>
      </c>
      <c r="B27" s="13" t="s">
        <v>38</v>
      </c>
      <c r="C27" s="13" t="s">
        <v>39</v>
      </c>
      <c r="D27" s="13" t="s">
        <v>28</v>
      </c>
    </row>
    <row r="28" ht="15.75" customHeight="1"/>
    <row r="29" ht="15.75" customHeight="1">
      <c r="A29" s="3" t="s">
        <v>40</v>
      </c>
    </row>
    <row r="30" ht="15.0" customHeight="1">
      <c r="A30" s="4" t="s">
        <v>41</v>
      </c>
    </row>
    <row r="31" ht="15.75" customHeight="1"/>
    <row r="32" ht="15.75" customHeight="1">
      <c r="A32" s="3"/>
    </row>
    <row r="33" ht="31.5" customHeight="1">
      <c r="A33" s="4"/>
    </row>
    <row r="34" ht="31.5" customHeight="1">
      <c r="A34" s="4"/>
    </row>
    <row r="35" ht="31.5" customHeight="1">
      <c r="A35" s="4"/>
    </row>
    <row r="36" ht="31.5" customHeight="1">
      <c r="A36" s="4"/>
    </row>
    <row r="37" ht="15.75" customHeight="1"/>
    <row r="38" ht="15.75" customHeight="1">
      <c r="A38" s="3"/>
    </row>
    <row r="39" ht="15.75" customHeight="1">
      <c r="A39" s="14"/>
      <c r="B39" s="14"/>
      <c r="C39" s="14"/>
      <c r="D39" s="15"/>
      <c r="E39" s="15"/>
      <c r="F39" s="15"/>
      <c r="G39" s="15"/>
      <c r="H39" s="15"/>
      <c r="I39" s="15"/>
      <c r="J39" s="15"/>
      <c r="K39" s="15"/>
    </row>
    <row r="40" ht="43.5" customHeight="1">
      <c r="A40" s="7"/>
      <c r="B40" s="13"/>
      <c r="C40" s="13"/>
    </row>
    <row r="41" ht="43.5" customHeight="1">
      <c r="A41" s="7"/>
      <c r="B41" s="13"/>
      <c r="C41" s="13"/>
    </row>
    <row r="42" ht="43.5" customHeight="1">
      <c r="A42" s="7"/>
      <c r="B42" s="13"/>
      <c r="C42" s="13"/>
    </row>
    <row r="43" ht="43.5" customHeight="1">
      <c r="A43" s="7"/>
      <c r="B43" s="13"/>
      <c r="C43" s="13"/>
    </row>
    <row r="44" ht="15.75" customHeight="1"/>
    <row r="45" ht="15.75" customHeight="1">
      <c r="A45" s="1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1">
    <mergeCell ref="A33:D33"/>
    <mergeCell ref="A30:D30"/>
    <mergeCell ref="A9:D9"/>
    <mergeCell ref="A10:D10"/>
    <mergeCell ref="A34:D34"/>
    <mergeCell ref="A35:D35"/>
    <mergeCell ref="A36:D36"/>
    <mergeCell ref="A5:D5"/>
    <mergeCell ref="A8:D8"/>
    <mergeCell ref="A6:D6"/>
    <mergeCell ref="A7:D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28.0"/>
    <col customWidth="1" min="3" max="5" width="8.0"/>
    <col customWidth="1" min="6" max="6" width="13.0"/>
    <col customWidth="1" min="7" max="7" width="9.0"/>
    <col customWidth="1" min="8" max="8" width="48.0"/>
    <col customWidth="1" min="9" max="9" width="12.0"/>
    <col customWidth="1" min="10" max="10" width="60.0"/>
    <col customWidth="1" min="11" max="11" width="20.0"/>
  </cols>
  <sheetData>
    <row r="1" ht="17.25" customHeight="1">
      <c r="A1" s="1" t="s">
        <v>42</v>
      </c>
    </row>
    <row r="2" ht="39.75" customHeight="1">
      <c r="A2" s="4" t="s">
        <v>43</v>
      </c>
    </row>
    <row r="4" ht="36.0" customHeight="1">
      <c r="A4" s="5" t="s">
        <v>44</v>
      </c>
      <c r="B4" s="5" t="s">
        <v>45</v>
      </c>
      <c r="C4" s="5" t="s">
        <v>46</v>
      </c>
      <c r="D4" s="5" t="s">
        <v>47</v>
      </c>
      <c r="E4" s="5" t="s">
        <v>48</v>
      </c>
      <c r="F4" s="5" t="s">
        <v>49</v>
      </c>
      <c r="G4" s="5" t="s">
        <v>50</v>
      </c>
      <c r="H4" s="5" t="s">
        <v>51</v>
      </c>
      <c r="I4" s="5" t="s">
        <v>10</v>
      </c>
      <c r="J4" s="5" t="s">
        <v>52</v>
      </c>
      <c r="K4" s="5" t="s">
        <v>53</v>
      </c>
    </row>
    <row r="5" ht="36.0" customHeight="1">
      <c r="A5" s="17">
        <v>1.0</v>
      </c>
      <c r="B5" s="13" t="s">
        <v>54</v>
      </c>
      <c r="C5" s="17">
        <v>46.0</v>
      </c>
      <c r="D5" s="17">
        <v>0.0</v>
      </c>
      <c r="E5" s="18" t="str">
        <f t="shared" ref="E5:E41" si="1">D5/C5</f>
        <v>0.0%</v>
      </c>
      <c r="F5" s="13"/>
      <c r="G5" s="17">
        <v>46.0</v>
      </c>
      <c r="H5" s="13" t="s">
        <v>55</v>
      </c>
      <c r="I5" s="19" t="s">
        <v>17</v>
      </c>
      <c r="J5" s="13" t="s">
        <v>56</v>
      </c>
      <c r="K5" s="13" t="s">
        <v>57</v>
      </c>
    </row>
    <row r="6" ht="24.75" customHeight="1">
      <c r="A6" s="17">
        <v>2.0</v>
      </c>
      <c r="B6" s="13" t="s">
        <v>58</v>
      </c>
      <c r="C6" s="17">
        <v>46.0</v>
      </c>
      <c r="D6" s="17">
        <v>0.0</v>
      </c>
      <c r="E6" s="18" t="str">
        <f t="shared" si="1"/>
        <v>0.0%</v>
      </c>
      <c r="F6" s="13"/>
      <c r="G6" s="17">
        <v>12.0</v>
      </c>
      <c r="H6" s="13" t="s">
        <v>59</v>
      </c>
      <c r="I6" s="19" t="s">
        <v>17</v>
      </c>
      <c r="J6" s="13" t="s">
        <v>60</v>
      </c>
      <c r="K6" s="13" t="s">
        <v>61</v>
      </c>
    </row>
    <row r="7">
      <c r="A7" s="17">
        <v>3.0</v>
      </c>
      <c r="B7" s="13" t="s">
        <v>62</v>
      </c>
      <c r="C7" s="17">
        <v>46.0</v>
      </c>
      <c r="D7" s="17">
        <v>0.0</v>
      </c>
      <c r="E7" s="18" t="str">
        <f t="shared" si="1"/>
        <v>0.0%</v>
      </c>
      <c r="F7" s="13"/>
      <c r="G7" s="17">
        <v>18.0</v>
      </c>
      <c r="H7" s="13" t="s">
        <v>63</v>
      </c>
      <c r="I7" s="20" t="s">
        <v>18</v>
      </c>
      <c r="J7" s="13" t="s">
        <v>64</v>
      </c>
      <c r="K7" s="13" t="s">
        <v>65</v>
      </c>
    </row>
    <row r="8" ht="24.75" customHeight="1">
      <c r="A8" s="17">
        <v>4.0</v>
      </c>
      <c r="B8" s="13" t="s">
        <v>66</v>
      </c>
      <c r="C8" s="17">
        <v>46.0</v>
      </c>
      <c r="D8" s="17">
        <v>0.0</v>
      </c>
      <c r="E8" s="18" t="str">
        <f t="shared" si="1"/>
        <v>0.0%</v>
      </c>
      <c r="F8" s="13"/>
      <c r="G8" s="17">
        <v>40.0</v>
      </c>
      <c r="H8" s="13" t="s">
        <v>67</v>
      </c>
      <c r="I8" s="19" t="s">
        <v>17</v>
      </c>
      <c r="J8" s="13" t="s">
        <v>68</v>
      </c>
      <c r="K8" s="13" t="s">
        <v>61</v>
      </c>
    </row>
    <row r="9">
      <c r="A9" s="17">
        <v>5.0</v>
      </c>
      <c r="B9" s="13" t="s">
        <v>69</v>
      </c>
      <c r="C9" s="17">
        <v>46.0</v>
      </c>
      <c r="D9" s="17">
        <v>0.0</v>
      </c>
      <c r="E9" s="18" t="str">
        <f t="shared" si="1"/>
        <v>0.0%</v>
      </c>
      <c r="F9" s="13"/>
      <c r="G9" s="17">
        <v>40.0</v>
      </c>
      <c r="H9" s="13" t="s">
        <v>70</v>
      </c>
      <c r="I9" s="19" t="s">
        <v>17</v>
      </c>
      <c r="J9" s="13" t="s">
        <v>71</v>
      </c>
      <c r="K9" s="13" t="s">
        <v>61</v>
      </c>
    </row>
    <row r="10" ht="24.75" customHeight="1">
      <c r="A10" s="17">
        <v>6.0</v>
      </c>
      <c r="B10" s="13" t="s">
        <v>72</v>
      </c>
      <c r="C10" s="17">
        <v>46.0</v>
      </c>
      <c r="D10" s="17">
        <v>0.0</v>
      </c>
      <c r="E10" s="18" t="str">
        <f t="shared" si="1"/>
        <v>0.0%</v>
      </c>
      <c r="F10" s="13"/>
      <c r="G10" s="17">
        <v>7.0</v>
      </c>
      <c r="H10" s="13" t="s">
        <v>73</v>
      </c>
      <c r="I10" s="21" t="s">
        <v>16</v>
      </c>
      <c r="J10" s="13" t="s">
        <v>74</v>
      </c>
      <c r="K10" s="13" t="s">
        <v>75</v>
      </c>
    </row>
    <row r="11">
      <c r="A11" s="17">
        <v>7.0</v>
      </c>
      <c r="B11" s="13" t="s">
        <v>76</v>
      </c>
      <c r="C11" s="17">
        <v>46.0</v>
      </c>
      <c r="D11" s="17">
        <v>0.0</v>
      </c>
      <c r="E11" s="18" t="str">
        <f t="shared" si="1"/>
        <v>0.0%</v>
      </c>
      <c r="F11" s="13"/>
      <c r="G11" s="17">
        <v>1.0</v>
      </c>
      <c r="H11" s="13" t="s">
        <v>77</v>
      </c>
      <c r="I11" s="20" t="s">
        <v>18</v>
      </c>
      <c r="J11" s="13" t="s">
        <v>78</v>
      </c>
      <c r="K11" s="13" t="s">
        <v>65</v>
      </c>
    </row>
    <row r="12">
      <c r="A12" s="17">
        <v>8.0</v>
      </c>
      <c r="B12" s="13" t="s">
        <v>79</v>
      </c>
      <c r="C12" s="17">
        <v>46.0</v>
      </c>
      <c r="D12" s="17">
        <v>0.0</v>
      </c>
      <c r="E12" s="18" t="str">
        <f t="shared" si="1"/>
        <v>0.0%</v>
      </c>
      <c r="F12" s="13"/>
      <c r="G12" s="17">
        <v>1.0</v>
      </c>
      <c r="H12" s="13" t="s">
        <v>80</v>
      </c>
      <c r="I12" s="20" t="s">
        <v>18</v>
      </c>
      <c r="J12" s="13" t="s">
        <v>81</v>
      </c>
      <c r="K12" s="13" t="s">
        <v>82</v>
      </c>
    </row>
    <row r="13">
      <c r="A13" s="17">
        <v>9.0</v>
      </c>
      <c r="B13" s="13" t="s">
        <v>83</v>
      </c>
      <c r="C13" s="17">
        <v>46.0</v>
      </c>
      <c r="D13" s="17">
        <v>0.0</v>
      </c>
      <c r="E13" s="18" t="str">
        <f t="shared" si="1"/>
        <v>0.0%</v>
      </c>
      <c r="F13" s="13"/>
      <c r="G13" s="17">
        <v>3.0</v>
      </c>
      <c r="H13" s="13" t="s">
        <v>84</v>
      </c>
      <c r="I13" s="21" t="s">
        <v>16</v>
      </c>
      <c r="J13" s="13" t="s">
        <v>85</v>
      </c>
      <c r="K13" s="13" t="s">
        <v>86</v>
      </c>
    </row>
    <row r="14" ht="24.75" customHeight="1">
      <c r="A14" s="17">
        <v>10.0</v>
      </c>
      <c r="B14" s="13" t="s">
        <v>87</v>
      </c>
      <c r="C14" s="17">
        <v>46.0</v>
      </c>
      <c r="D14" s="17">
        <v>1.0</v>
      </c>
      <c r="E14" s="18" t="str">
        <f t="shared" si="1"/>
        <v>2.2%</v>
      </c>
      <c r="F14" s="13"/>
      <c r="G14" s="17">
        <v>1.0</v>
      </c>
      <c r="H14" s="13" t="s">
        <v>88</v>
      </c>
      <c r="I14" s="22" t="s">
        <v>15</v>
      </c>
      <c r="J14" s="13" t="s">
        <v>89</v>
      </c>
      <c r="K14" s="13" t="s">
        <v>90</v>
      </c>
    </row>
    <row r="15" ht="24.75" customHeight="1">
      <c r="A15" s="17">
        <v>11.0</v>
      </c>
      <c r="B15" s="13" t="s">
        <v>91</v>
      </c>
      <c r="C15" s="17">
        <v>46.0</v>
      </c>
      <c r="D15" s="17">
        <v>0.0</v>
      </c>
      <c r="E15" s="18" t="str">
        <f t="shared" si="1"/>
        <v>0.0%</v>
      </c>
      <c r="F15" s="17">
        <v>21.0</v>
      </c>
      <c r="G15" s="17">
        <v>18.0</v>
      </c>
      <c r="H15" s="13" t="s">
        <v>92</v>
      </c>
      <c r="I15" s="22" t="s">
        <v>15</v>
      </c>
      <c r="J15" s="13" t="s">
        <v>93</v>
      </c>
      <c r="K15" s="13" t="s">
        <v>65</v>
      </c>
    </row>
    <row r="16" ht="24.75" customHeight="1">
      <c r="A16" s="17">
        <v>12.0</v>
      </c>
      <c r="B16" s="13" t="s">
        <v>94</v>
      </c>
      <c r="C16" s="17">
        <v>46.0</v>
      </c>
      <c r="D16" s="17">
        <v>0.0</v>
      </c>
      <c r="E16" s="18" t="str">
        <f t="shared" si="1"/>
        <v>0.0%</v>
      </c>
      <c r="F16" s="17">
        <v>1.0</v>
      </c>
      <c r="G16" s="17">
        <v>31.0</v>
      </c>
      <c r="H16" s="13" t="s">
        <v>95</v>
      </c>
      <c r="I16" s="23" t="s">
        <v>14</v>
      </c>
      <c r="J16" s="13" t="s">
        <v>96</v>
      </c>
      <c r="K16" s="13" t="s">
        <v>97</v>
      </c>
    </row>
    <row r="17">
      <c r="A17" s="17">
        <v>13.0</v>
      </c>
      <c r="B17" s="13" t="s">
        <v>98</v>
      </c>
      <c r="C17" s="17">
        <v>46.0</v>
      </c>
      <c r="D17" s="17">
        <v>0.0</v>
      </c>
      <c r="E17" s="18" t="str">
        <f t="shared" si="1"/>
        <v>0.0%</v>
      </c>
      <c r="F17" s="17">
        <v>0.0</v>
      </c>
      <c r="G17" s="17">
        <v>39.0</v>
      </c>
      <c r="H17" s="13" t="s">
        <v>99</v>
      </c>
      <c r="I17" s="23" t="s">
        <v>14</v>
      </c>
      <c r="J17" s="13" t="s">
        <v>100</v>
      </c>
      <c r="K17" s="13" t="s">
        <v>101</v>
      </c>
    </row>
    <row r="18">
      <c r="A18" s="17">
        <v>14.0</v>
      </c>
      <c r="B18" s="13" t="s">
        <v>102</v>
      </c>
      <c r="C18" s="17">
        <v>46.0</v>
      </c>
      <c r="D18" s="17">
        <v>0.0</v>
      </c>
      <c r="E18" s="18" t="str">
        <f t="shared" si="1"/>
        <v>0.0%</v>
      </c>
      <c r="F18" s="17">
        <v>0.0</v>
      </c>
      <c r="G18" s="17">
        <v>39.0</v>
      </c>
      <c r="H18" s="13" t="s">
        <v>103</v>
      </c>
      <c r="I18" s="23" t="s">
        <v>14</v>
      </c>
      <c r="J18" s="13" t="s">
        <v>104</v>
      </c>
      <c r="K18" s="13" t="s">
        <v>101</v>
      </c>
    </row>
    <row r="19">
      <c r="A19" s="17">
        <v>15.0</v>
      </c>
      <c r="B19" s="13" t="s">
        <v>105</v>
      </c>
      <c r="C19" s="17">
        <v>46.0</v>
      </c>
      <c r="D19" s="17">
        <v>0.0</v>
      </c>
      <c r="E19" s="18" t="str">
        <f t="shared" si="1"/>
        <v>0.0%</v>
      </c>
      <c r="F19" s="17">
        <v>0.0</v>
      </c>
      <c r="G19" s="17">
        <v>39.0</v>
      </c>
      <c r="H19" s="13" t="s">
        <v>99</v>
      </c>
      <c r="I19" s="23" t="s">
        <v>14</v>
      </c>
      <c r="J19" s="13" t="s">
        <v>106</v>
      </c>
      <c r="K19" s="13" t="s">
        <v>107</v>
      </c>
    </row>
    <row r="20">
      <c r="A20" s="17">
        <v>16.0</v>
      </c>
      <c r="B20" s="13" t="s">
        <v>108</v>
      </c>
      <c r="C20" s="17">
        <v>46.0</v>
      </c>
      <c r="D20" s="17">
        <v>0.0</v>
      </c>
      <c r="E20" s="18" t="str">
        <f t="shared" si="1"/>
        <v>0.0%</v>
      </c>
      <c r="F20" s="13"/>
      <c r="G20" s="17">
        <v>3.0</v>
      </c>
      <c r="H20" s="13" t="s">
        <v>109</v>
      </c>
      <c r="I20" s="21" t="s">
        <v>16</v>
      </c>
      <c r="J20" s="13" t="s">
        <v>110</v>
      </c>
      <c r="K20" s="13" t="s">
        <v>111</v>
      </c>
    </row>
    <row r="21" ht="15.75" customHeight="1">
      <c r="A21" s="17">
        <v>17.0</v>
      </c>
      <c r="B21" s="13" t="s">
        <v>112</v>
      </c>
      <c r="C21" s="17">
        <v>46.0</v>
      </c>
      <c r="D21" s="17">
        <v>0.0</v>
      </c>
      <c r="E21" s="18" t="str">
        <f t="shared" si="1"/>
        <v>0.0%</v>
      </c>
      <c r="F21" s="13"/>
      <c r="G21" s="17">
        <v>2.0</v>
      </c>
      <c r="H21" s="13" t="s">
        <v>113</v>
      </c>
      <c r="I21" s="21" t="s">
        <v>16</v>
      </c>
      <c r="J21" s="13" t="s">
        <v>110</v>
      </c>
      <c r="K21" s="13" t="s">
        <v>86</v>
      </c>
    </row>
    <row r="22" ht="24.75" customHeight="1">
      <c r="A22" s="17">
        <v>18.0</v>
      </c>
      <c r="B22" s="13" t="s">
        <v>114</v>
      </c>
      <c r="C22" s="17">
        <v>46.0</v>
      </c>
      <c r="D22" s="17">
        <v>0.0</v>
      </c>
      <c r="E22" s="18" t="str">
        <f t="shared" si="1"/>
        <v>0.0%</v>
      </c>
      <c r="F22" s="13"/>
      <c r="G22" s="17">
        <v>11.0</v>
      </c>
      <c r="H22" s="13" t="s">
        <v>115</v>
      </c>
      <c r="I22" s="21" t="s">
        <v>16</v>
      </c>
      <c r="J22" s="13" t="s">
        <v>116</v>
      </c>
      <c r="K22" s="13" t="s">
        <v>86</v>
      </c>
    </row>
    <row r="23" ht="15.75" customHeight="1">
      <c r="A23" s="17">
        <v>19.0</v>
      </c>
      <c r="B23" s="13" t="s">
        <v>117</v>
      </c>
      <c r="C23" s="17">
        <v>46.0</v>
      </c>
      <c r="D23" s="17">
        <v>0.0</v>
      </c>
      <c r="E23" s="18" t="str">
        <f t="shared" si="1"/>
        <v>0.0%</v>
      </c>
      <c r="F23" s="13"/>
      <c r="G23" s="17">
        <v>17.0</v>
      </c>
      <c r="H23" s="13" t="s">
        <v>118</v>
      </c>
      <c r="I23" s="21" t="s">
        <v>16</v>
      </c>
      <c r="J23" s="13" t="s">
        <v>119</v>
      </c>
      <c r="K23" s="13" t="s">
        <v>65</v>
      </c>
    </row>
    <row r="24" ht="15.75" customHeight="1">
      <c r="A24" s="17">
        <v>20.0</v>
      </c>
      <c r="B24" s="13" t="s">
        <v>120</v>
      </c>
      <c r="C24" s="17">
        <v>46.0</v>
      </c>
      <c r="D24" s="17">
        <v>0.0</v>
      </c>
      <c r="E24" s="18" t="str">
        <f t="shared" si="1"/>
        <v>0.0%</v>
      </c>
      <c r="F24" s="13"/>
      <c r="G24" s="17">
        <v>13.0</v>
      </c>
      <c r="H24" s="13" t="s">
        <v>121</v>
      </c>
      <c r="I24" s="21" t="s">
        <v>16</v>
      </c>
      <c r="J24" s="13" t="s">
        <v>119</v>
      </c>
      <c r="K24" s="13" t="s">
        <v>65</v>
      </c>
    </row>
    <row r="25" ht="15.75" customHeight="1">
      <c r="A25" s="17">
        <v>21.0</v>
      </c>
      <c r="B25" s="13" t="s">
        <v>122</v>
      </c>
      <c r="C25" s="17">
        <v>46.0</v>
      </c>
      <c r="D25" s="17">
        <v>0.0</v>
      </c>
      <c r="E25" s="18" t="str">
        <f t="shared" si="1"/>
        <v>0.0%</v>
      </c>
      <c r="F25" s="13"/>
      <c r="G25" s="17">
        <v>4.0</v>
      </c>
      <c r="H25" s="13" t="s">
        <v>123</v>
      </c>
      <c r="I25" s="21" t="s">
        <v>16</v>
      </c>
      <c r="J25" s="13" t="s">
        <v>119</v>
      </c>
      <c r="K25" s="13" t="s">
        <v>65</v>
      </c>
    </row>
    <row r="26" ht="15.75" customHeight="1">
      <c r="A26" s="17">
        <v>22.0</v>
      </c>
      <c r="B26" s="13" t="s">
        <v>124</v>
      </c>
      <c r="C26" s="17">
        <v>46.0</v>
      </c>
      <c r="D26" s="17">
        <v>8.0</v>
      </c>
      <c r="E26" s="18" t="str">
        <f t="shared" si="1"/>
        <v>17.4%</v>
      </c>
      <c r="F26" s="13"/>
      <c r="G26" s="17">
        <v>8.0</v>
      </c>
      <c r="H26" s="13" t="s">
        <v>125</v>
      </c>
      <c r="I26" s="22" t="s">
        <v>15</v>
      </c>
      <c r="J26" s="13" t="s">
        <v>126</v>
      </c>
      <c r="K26" s="13" t="s">
        <v>65</v>
      </c>
    </row>
    <row r="27" ht="15.75" customHeight="1">
      <c r="A27" s="17">
        <v>23.0</v>
      </c>
      <c r="B27" s="13" t="s">
        <v>127</v>
      </c>
      <c r="C27" s="17">
        <v>46.0</v>
      </c>
      <c r="D27" s="17">
        <v>0.0</v>
      </c>
      <c r="E27" s="18" t="str">
        <f t="shared" si="1"/>
        <v>0.0%</v>
      </c>
      <c r="F27" s="13"/>
      <c r="G27" s="17">
        <v>7.0</v>
      </c>
      <c r="H27" s="13" t="s">
        <v>128</v>
      </c>
      <c r="I27" s="21" t="s">
        <v>16</v>
      </c>
      <c r="J27" s="13" t="s">
        <v>119</v>
      </c>
      <c r="K27" s="13" t="s">
        <v>65</v>
      </c>
    </row>
    <row r="28" ht="15.75" customHeight="1">
      <c r="A28" s="17">
        <v>24.0</v>
      </c>
      <c r="B28" s="13" t="s">
        <v>129</v>
      </c>
      <c r="C28" s="17">
        <v>46.0</v>
      </c>
      <c r="D28" s="17">
        <v>0.0</v>
      </c>
      <c r="E28" s="18" t="str">
        <f t="shared" si="1"/>
        <v>0.0%</v>
      </c>
      <c r="F28" s="17">
        <v>0.0</v>
      </c>
      <c r="G28" s="17">
        <v>9.0</v>
      </c>
      <c r="H28" s="13" t="s">
        <v>130</v>
      </c>
      <c r="I28" s="20" t="s">
        <v>18</v>
      </c>
      <c r="J28" s="13" t="s">
        <v>131</v>
      </c>
      <c r="K28" s="13" t="s">
        <v>65</v>
      </c>
    </row>
    <row r="29" ht="15.75" customHeight="1">
      <c r="A29" s="17">
        <v>25.0</v>
      </c>
      <c r="B29" s="13" t="s">
        <v>132</v>
      </c>
      <c r="C29" s="17">
        <v>46.0</v>
      </c>
      <c r="D29" s="17">
        <v>0.0</v>
      </c>
      <c r="E29" s="18" t="str">
        <f t="shared" si="1"/>
        <v>0.0%</v>
      </c>
      <c r="F29" s="17">
        <v>0.0</v>
      </c>
      <c r="G29" s="17">
        <v>36.0</v>
      </c>
      <c r="H29" s="13" t="s">
        <v>133</v>
      </c>
      <c r="I29" s="23" t="s">
        <v>14</v>
      </c>
      <c r="J29" s="13" t="s">
        <v>134</v>
      </c>
      <c r="K29" s="13" t="s">
        <v>135</v>
      </c>
    </row>
    <row r="30" ht="24.75" customHeight="1">
      <c r="A30" s="17">
        <v>26.0</v>
      </c>
      <c r="B30" s="13" t="s">
        <v>136</v>
      </c>
      <c r="C30" s="17">
        <v>46.0</v>
      </c>
      <c r="D30" s="17">
        <v>0.0</v>
      </c>
      <c r="E30" s="18" t="str">
        <f t="shared" si="1"/>
        <v>0.0%</v>
      </c>
      <c r="F30" s="17">
        <v>0.0</v>
      </c>
      <c r="G30" s="17">
        <v>41.0</v>
      </c>
      <c r="H30" s="13" t="s">
        <v>133</v>
      </c>
      <c r="I30" s="23" t="s">
        <v>14</v>
      </c>
      <c r="J30" s="13" t="s">
        <v>137</v>
      </c>
      <c r="K30" s="13" t="s">
        <v>138</v>
      </c>
    </row>
    <row r="31" ht="15.75" customHeight="1">
      <c r="A31" s="17">
        <v>27.0</v>
      </c>
      <c r="B31" s="13" t="s">
        <v>139</v>
      </c>
      <c r="C31" s="17">
        <v>46.0</v>
      </c>
      <c r="D31" s="17">
        <v>0.0</v>
      </c>
      <c r="E31" s="18" t="str">
        <f t="shared" si="1"/>
        <v>0.0%</v>
      </c>
      <c r="F31" s="17">
        <v>0.0</v>
      </c>
      <c r="G31" s="17">
        <v>35.0</v>
      </c>
      <c r="H31" s="13" t="s">
        <v>140</v>
      </c>
      <c r="I31" s="22" t="s">
        <v>15</v>
      </c>
      <c r="J31" s="13" t="s">
        <v>141</v>
      </c>
      <c r="K31" s="13" t="s">
        <v>142</v>
      </c>
    </row>
    <row r="32" ht="15.75" customHeight="1">
      <c r="A32" s="17">
        <v>28.0</v>
      </c>
      <c r="B32" s="13" t="s">
        <v>143</v>
      </c>
      <c r="C32" s="17">
        <v>46.0</v>
      </c>
      <c r="D32" s="17">
        <v>0.0</v>
      </c>
      <c r="E32" s="18" t="str">
        <f t="shared" si="1"/>
        <v>0.0%</v>
      </c>
      <c r="F32" s="17">
        <v>0.0</v>
      </c>
      <c r="G32" s="17">
        <v>15.0</v>
      </c>
      <c r="H32" s="13" t="s">
        <v>140</v>
      </c>
      <c r="I32" s="22" t="s">
        <v>15</v>
      </c>
      <c r="J32" s="13" t="s">
        <v>144</v>
      </c>
      <c r="K32" s="13" t="s">
        <v>142</v>
      </c>
    </row>
    <row r="33" ht="15.75" customHeight="1">
      <c r="A33" s="17">
        <v>29.0</v>
      </c>
      <c r="B33" s="13" t="s">
        <v>145</v>
      </c>
      <c r="C33" s="17">
        <v>46.0</v>
      </c>
      <c r="D33" s="17">
        <v>0.0</v>
      </c>
      <c r="E33" s="18" t="str">
        <f t="shared" si="1"/>
        <v>0.0%</v>
      </c>
      <c r="F33" s="13"/>
      <c r="G33" s="17">
        <v>18.0</v>
      </c>
      <c r="H33" s="13" t="s">
        <v>146</v>
      </c>
      <c r="I33" s="20" t="s">
        <v>18</v>
      </c>
      <c r="J33" s="13" t="s">
        <v>147</v>
      </c>
      <c r="K33" s="13" t="s">
        <v>65</v>
      </c>
    </row>
    <row r="34" ht="15.75" customHeight="1">
      <c r="A34" s="17">
        <v>30.0</v>
      </c>
      <c r="B34" s="13" t="s">
        <v>148</v>
      </c>
      <c r="C34" s="17">
        <v>46.0</v>
      </c>
      <c r="D34" s="17">
        <v>0.0</v>
      </c>
      <c r="E34" s="18" t="str">
        <f t="shared" si="1"/>
        <v>0.0%</v>
      </c>
      <c r="F34" s="13"/>
      <c r="G34" s="17">
        <v>2.0</v>
      </c>
      <c r="H34" s="13" t="s">
        <v>149</v>
      </c>
      <c r="I34" s="20" t="s">
        <v>18</v>
      </c>
      <c r="J34" s="13" t="s">
        <v>147</v>
      </c>
      <c r="K34" s="13" t="s">
        <v>65</v>
      </c>
    </row>
    <row r="35" ht="36.0" customHeight="1">
      <c r="A35" s="17">
        <v>31.0</v>
      </c>
      <c r="B35" s="13" t="s">
        <v>150</v>
      </c>
      <c r="C35" s="17">
        <v>46.0</v>
      </c>
      <c r="D35" s="17">
        <v>0.0</v>
      </c>
      <c r="E35" s="18" t="str">
        <f t="shared" si="1"/>
        <v>0.0%</v>
      </c>
      <c r="F35" s="17">
        <v>8.0</v>
      </c>
      <c r="G35" s="17">
        <v>41.0</v>
      </c>
      <c r="H35" s="13" t="s">
        <v>151</v>
      </c>
      <c r="I35" s="23" t="s">
        <v>14</v>
      </c>
      <c r="J35" s="13" t="s">
        <v>152</v>
      </c>
      <c r="K35" s="13" t="s">
        <v>153</v>
      </c>
    </row>
    <row r="36" ht="36.0" customHeight="1">
      <c r="A36" s="17">
        <v>32.0</v>
      </c>
      <c r="B36" s="13" t="s">
        <v>154</v>
      </c>
      <c r="C36" s="17">
        <v>46.0</v>
      </c>
      <c r="D36" s="17">
        <v>0.0</v>
      </c>
      <c r="E36" s="18" t="str">
        <f t="shared" si="1"/>
        <v>0.0%</v>
      </c>
      <c r="F36" s="17">
        <v>8.0</v>
      </c>
      <c r="G36" s="17">
        <v>43.0</v>
      </c>
      <c r="H36" s="13" t="s">
        <v>155</v>
      </c>
      <c r="I36" s="23" t="s">
        <v>14</v>
      </c>
      <c r="J36" s="13" t="s">
        <v>156</v>
      </c>
      <c r="K36" s="13" t="s">
        <v>157</v>
      </c>
    </row>
    <row r="37" ht="24.75" customHeight="1">
      <c r="A37" s="17">
        <v>33.0</v>
      </c>
      <c r="B37" s="13" t="s">
        <v>158</v>
      </c>
      <c r="C37" s="17">
        <v>46.0</v>
      </c>
      <c r="D37" s="17">
        <v>0.0</v>
      </c>
      <c r="E37" s="18" t="str">
        <f t="shared" si="1"/>
        <v>0.0%</v>
      </c>
      <c r="F37" s="17">
        <v>0.0</v>
      </c>
      <c r="G37" s="17">
        <v>41.0</v>
      </c>
      <c r="H37" s="13" t="s">
        <v>159</v>
      </c>
      <c r="I37" s="23" t="s">
        <v>14</v>
      </c>
      <c r="J37" s="13" t="s">
        <v>160</v>
      </c>
      <c r="K37" s="13" t="s">
        <v>161</v>
      </c>
    </row>
    <row r="38" ht="15.75" customHeight="1">
      <c r="A38" s="17">
        <v>34.0</v>
      </c>
      <c r="B38" s="13" t="s">
        <v>162</v>
      </c>
      <c r="C38" s="17">
        <v>46.0</v>
      </c>
      <c r="D38" s="17">
        <v>3.0</v>
      </c>
      <c r="E38" s="18" t="str">
        <f t="shared" si="1"/>
        <v>6.5%</v>
      </c>
      <c r="F38" s="13"/>
      <c r="G38" s="17">
        <v>42.0</v>
      </c>
      <c r="H38" s="13" t="s">
        <v>163</v>
      </c>
      <c r="I38" s="20" t="s">
        <v>18</v>
      </c>
      <c r="J38" s="13" t="s">
        <v>164</v>
      </c>
      <c r="K38" s="13" t="s">
        <v>65</v>
      </c>
    </row>
    <row r="39" ht="15.75" customHeight="1">
      <c r="A39" s="17">
        <v>35.0</v>
      </c>
      <c r="B39" s="13" t="s">
        <v>165</v>
      </c>
      <c r="C39" s="17">
        <v>46.0</v>
      </c>
      <c r="D39" s="17">
        <v>2.0</v>
      </c>
      <c r="E39" s="18" t="str">
        <f t="shared" si="1"/>
        <v>4.3%</v>
      </c>
      <c r="F39" s="17">
        <v>1.0</v>
      </c>
      <c r="G39" s="17">
        <v>44.0</v>
      </c>
      <c r="H39" s="13" t="s">
        <v>166</v>
      </c>
      <c r="I39" s="20" t="s">
        <v>18</v>
      </c>
      <c r="J39" s="13" t="s">
        <v>164</v>
      </c>
      <c r="K39" s="13" t="s">
        <v>65</v>
      </c>
    </row>
    <row r="40" ht="24.75" customHeight="1">
      <c r="A40" s="17">
        <v>36.0</v>
      </c>
      <c r="B40" s="13" t="s">
        <v>167</v>
      </c>
      <c r="C40" s="17">
        <v>46.0</v>
      </c>
      <c r="D40" s="17">
        <v>1.0</v>
      </c>
      <c r="E40" s="18" t="str">
        <f t="shared" si="1"/>
        <v>2.2%</v>
      </c>
      <c r="F40" s="17">
        <v>2.0</v>
      </c>
      <c r="G40" s="17">
        <v>11.0</v>
      </c>
      <c r="H40" s="13" t="s">
        <v>168</v>
      </c>
      <c r="I40" s="20" t="s">
        <v>18</v>
      </c>
      <c r="J40" s="13" t="s">
        <v>164</v>
      </c>
      <c r="K40" s="13" t="s">
        <v>65</v>
      </c>
    </row>
    <row r="41" ht="15.75" customHeight="1">
      <c r="A41" s="17">
        <v>37.0</v>
      </c>
      <c r="B41" s="13" t="s">
        <v>169</v>
      </c>
      <c r="C41" s="17">
        <v>46.0</v>
      </c>
      <c r="D41" s="17">
        <v>6.0</v>
      </c>
      <c r="E41" s="18" t="str">
        <f t="shared" si="1"/>
        <v>13.0%</v>
      </c>
      <c r="F41" s="13"/>
      <c r="G41" s="17">
        <v>8.0</v>
      </c>
      <c r="H41" s="13" t="s">
        <v>170</v>
      </c>
      <c r="I41" s="20" t="s">
        <v>18</v>
      </c>
      <c r="J41" s="13" t="s">
        <v>164</v>
      </c>
      <c r="K41" s="13" t="s">
        <v>65</v>
      </c>
    </row>
    <row r="42" ht="15.75" customHeight="1"/>
    <row r="43" ht="15.75" customHeight="1">
      <c r="A43" s="3" t="s">
        <v>171</v>
      </c>
    </row>
    <row r="44" ht="15.75" customHeight="1">
      <c r="B44" s="2" t="s">
        <v>172</v>
      </c>
      <c r="C44" s="24">
        <v>0.0</v>
      </c>
    </row>
    <row r="45" ht="15.75" customHeight="1">
      <c r="B45" s="2" t="s">
        <v>173</v>
      </c>
      <c r="C45" s="24">
        <v>44.0</v>
      </c>
    </row>
    <row r="46" ht="15.75" customHeight="1">
      <c r="B46" s="2" t="s">
        <v>174</v>
      </c>
      <c r="C46" s="24">
        <v>2.0</v>
      </c>
    </row>
    <row r="47" ht="15.75" customHeight="1">
      <c r="B47" s="2" t="s">
        <v>175</v>
      </c>
      <c r="C47" s="24" t="str">
        <f>SUM(C44:C46)</f>
        <v>46</v>
      </c>
    </row>
    <row r="48" ht="15.75" customHeight="1">
      <c r="B48" s="2" t="s">
        <v>176</v>
      </c>
      <c r="C48" s="25" t="str">
        <f>C44/C47</f>
        <v>0.0%</v>
      </c>
    </row>
    <row r="49" ht="15.75" customHeight="1">
      <c r="B49" s="2" t="s">
        <v>177</v>
      </c>
      <c r="C49" s="25" t="str">
        <f>1-C48</f>
        <v>100.0%</v>
      </c>
    </row>
    <row r="50" ht="48.0" customHeight="1">
      <c r="B50" s="4" t="s">
        <v>178</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K2"/>
    <mergeCell ref="B50:J5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6.0"/>
    <col customWidth="1" min="3" max="3" width="24.0"/>
    <col customWidth="1" min="4" max="6" width="8.0"/>
    <col customWidth="1" min="7" max="7" width="12.0"/>
    <col customWidth="1" min="8" max="9" width="9.0"/>
    <col customWidth="1" min="10" max="10" width="60.0"/>
    <col customWidth="1" min="11" max="11" width="12.0"/>
    <col customWidth="1" min="12" max="12" width="62.0"/>
    <col customWidth="1" min="13" max="13" width="18.0"/>
  </cols>
  <sheetData>
    <row r="1" ht="17.25" customHeight="1">
      <c r="A1" s="1" t="s">
        <v>179</v>
      </c>
    </row>
    <row r="2" ht="30.0" customHeight="1">
      <c r="A2" s="4" t="s">
        <v>180</v>
      </c>
    </row>
    <row r="4" ht="36.0" customHeight="1">
      <c r="A4" s="5" t="s">
        <v>44</v>
      </c>
      <c r="B4" s="5" t="s">
        <v>181</v>
      </c>
      <c r="C4" s="5" t="s">
        <v>45</v>
      </c>
      <c r="D4" s="5" t="s">
        <v>46</v>
      </c>
      <c r="E4" s="5" t="s">
        <v>47</v>
      </c>
      <c r="F4" s="5" t="s">
        <v>48</v>
      </c>
      <c r="G4" s="5" t="s">
        <v>49</v>
      </c>
      <c r="H4" s="5" t="s">
        <v>182</v>
      </c>
      <c r="I4" s="5" t="s">
        <v>50</v>
      </c>
      <c r="J4" s="5" t="s">
        <v>51</v>
      </c>
      <c r="K4" s="5" t="s">
        <v>10</v>
      </c>
      <c r="L4" s="5" t="s">
        <v>52</v>
      </c>
      <c r="M4" s="5" t="s">
        <v>53</v>
      </c>
    </row>
    <row r="5" ht="24.75" customHeight="1">
      <c r="A5" s="17">
        <v>1.0</v>
      </c>
      <c r="B5" s="13" t="s">
        <v>183</v>
      </c>
      <c r="C5" s="13" t="s">
        <v>184</v>
      </c>
      <c r="D5" s="17">
        <v>10793.0</v>
      </c>
      <c r="E5" s="17">
        <v>0.0</v>
      </c>
      <c r="F5" s="18" t="str">
        <f t="shared" ref="F5:F68" si="1">E5/D5</f>
        <v>0.0%</v>
      </c>
      <c r="G5" s="13"/>
      <c r="H5" s="13"/>
      <c r="I5" s="17">
        <v>10631.0</v>
      </c>
      <c r="J5" s="13" t="s">
        <v>185</v>
      </c>
      <c r="K5" s="19" t="s">
        <v>17</v>
      </c>
      <c r="L5" s="13" t="s">
        <v>186</v>
      </c>
      <c r="M5" s="13" t="s">
        <v>187</v>
      </c>
    </row>
    <row r="6" ht="47.25" customHeight="1">
      <c r="A6" s="17">
        <v>2.0</v>
      </c>
      <c r="B6" s="13" t="s">
        <v>183</v>
      </c>
      <c r="C6" s="13" t="s">
        <v>188</v>
      </c>
      <c r="D6" s="17">
        <v>10793.0</v>
      </c>
      <c r="E6" s="17">
        <v>0.0</v>
      </c>
      <c r="F6" s="18" t="str">
        <f t="shared" si="1"/>
        <v>0.0%</v>
      </c>
      <c r="G6" s="17">
        <v>0.0</v>
      </c>
      <c r="H6" s="13"/>
      <c r="I6" s="17">
        <v>314.0</v>
      </c>
      <c r="J6" s="13" t="s">
        <v>189</v>
      </c>
      <c r="K6" s="22" t="s">
        <v>15</v>
      </c>
      <c r="L6" s="13" t="s">
        <v>190</v>
      </c>
      <c r="M6" s="13" t="s">
        <v>191</v>
      </c>
    </row>
    <row r="7" ht="24.75" customHeight="1">
      <c r="A7" s="17">
        <v>3.0</v>
      </c>
      <c r="B7" s="13" t="s">
        <v>183</v>
      </c>
      <c r="C7" s="13" t="s">
        <v>192</v>
      </c>
      <c r="D7" s="17">
        <v>10793.0</v>
      </c>
      <c r="E7" s="17">
        <v>0.0</v>
      </c>
      <c r="F7" s="18" t="str">
        <f t="shared" si="1"/>
        <v>0.0%</v>
      </c>
      <c r="G7" s="13"/>
      <c r="H7" s="13"/>
      <c r="I7" s="17">
        <v>17.0</v>
      </c>
      <c r="J7" s="13" t="s">
        <v>193</v>
      </c>
      <c r="K7" s="19" t="s">
        <v>17</v>
      </c>
      <c r="L7" s="13" t="s">
        <v>194</v>
      </c>
      <c r="M7" s="13" t="s">
        <v>191</v>
      </c>
    </row>
    <row r="8" ht="24.75" customHeight="1">
      <c r="A8" s="17">
        <v>4.0</v>
      </c>
      <c r="B8" s="13" t="s">
        <v>183</v>
      </c>
      <c r="C8" s="13" t="s">
        <v>195</v>
      </c>
      <c r="D8" s="17">
        <v>10793.0</v>
      </c>
      <c r="E8" s="17">
        <v>0.0</v>
      </c>
      <c r="F8" s="18" t="str">
        <f t="shared" si="1"/>
        <v>0.0%</v>
      </c>
      <c r="G8" s="13"/>
      <c r="H8" s="13"/>
      <c r="I8" s="17">
        <v>93.0</v>
      </c>
      <c r="J8" s="13" t="s">
        <v>196</v>
      </c>
      <c r="K8" s="19" t="s">
        <v>17</v>
      </c>
      <c r="L8" s="13" t="s">
        <v>197</v>
      </c>
      <c r="M8" s="13" t="s">
        <v>198</v>
      </c>
    </row>
    <row r="9">
      <c r="A9" s="17">
        <v>5.0</v>
      </c>
      <c r="B9" s="13" t="s">
        <v>183</v>
      </c>
      <c r="C9" s="13" t="s">
        <v>199</v>
      </c>
      <c r="D9" s="17">
        <v>10793.0</v>
      </c>
      <c r="E9" s="17">
        <v>0.0</v>
      </c>
      <c r="F9" s="18" t="str">
        <f t="shared" si="1"/>
        <v>0.0%</v>
      </c>
      <c r="G9" s="17">
        <v>0.0</v>
      </c>
      <c r="H9" s="17">
        <v>0.0</v>
      </c>
      <c r="I9" s="17">
        <v>1057.0</v>
      </c>
      <c r="J9" s="13" t="s">
        <v>200</v>
      </c>
      <c r="K9" s="20" t="s">
        <v>18</v>
      </c>
      <c r="L9" s="13" t="s">
        <v>119</v>
      </c>
      <c r="M9" s="13" t="s">
        <v>65</v>
      </c>
    </row>
    <row r="10">
      <c r="A10" s="17">
        <v>6.0</v>
      </c>
      <c r="B10" s="13" t="s">
        <v>183</v>
      </c>
      <c r="C10" s="13" t="s">
        <v>201</v>
      </c>
      <c r="D10" s="17">
        <v>10793.0</v>
      </c>
      <c r="E10" s="17">
        <v>99.0</v>
      </c>
      <c r="F10" s="18" t="str">
        <f t="shared" si="1"/>
        <v>0.9%</v>
      </c>
      <c r="G10" s="17">
        <v>0.0</v>
      </c>
      <c r="H10" s="17">
        <v>43.0</v>
      </c>
      <c r="I10" s="17">
        <v>320.0</v>
      </c>
      <c r="J10" s="13" t="s">
        <v>202</v>
      </c>
      <c r="K10" s="22" t="s">
        <v>15</v>
      </c>
      <c r="L10" s="13" t="s">
        <v>203</v>
      </c>
      <c r="M10" s="13" t="s">
        <v>198</v>
      </c>
    </row>
    <row r="11">
      <c r="A11" s="17">
        <v>7.0</v>
      </c>
      <c r="B11" s="13" t="s">
        <v>183</v>
      </c>
      <c r="C11" s="13" t="s">
        <v>204</v>
      </c>
      <c r="D11" s="17">
        <v>10793.0</v>
      </c>
      <c r="E11" s="17">
        <v>99.0</v>
      </c>
      <c r="F11" s="18" t="str">
        <f t="shared" si="1"/>
        <v>0.9%</v>
      </c>
      <c r="G11" s="17">
        <v>0.0</v>
      </c>
      <c r="H11" s="17">
        <v>0.0</v>
      </c>
      <c r="I11" s="17">
        <v>383.0</v>
      </c>
      <c r="J11" s="13" t="s">
        <v>205</v>
      </c>
      <c r="K11" s="23" t="s">
        <v>14</v>
      </c>
      <c r="L11" s="13" t="s">
        <v>206</v>
      </c>
      <c r="M11" s="13" t="s">
        <v>198</v>
      </c>
    </row>
    <row r="12">
      <c r="A12" s="17">
        <v>8.0</v>
      </c>
      <c r="B12" s="13" t="s">
        <v>183</v>
      </c>
      <c r="C12" s="13" t="s">
        <v>207</v>
      </c>
      <c r="D12" s="17">
        <v>10793.0</v>
      </c>
      <c r="E12" s="17">
        <v>348.0</v>
      </c>
      <c r="F12" s="18" t="str">
        <f t="shared" si="1"/>
        <v>3.2%</v>
      </c>
      <c r="G12" s="17">
        <v>0.0</v>
      </c>
      <c r="H12" s="17">
        <v>0.0</v>
      </c>
      <c r="I12" s="17">
        <v>375.0</v>
      </c>
      <c r="J12" s="13" t="s">
        <v>205</v>
      </c>
      <c r="K12" s="23" t="s">
        <v>14</v>
      </c>
      <c r="L12" s="13" t="s">
        <v>206</v>
      </c>
      <c r="M12" s="13" t="s">
        <v>198</v>
      </c>
    </row>
    <row r="13" ht="36.0" customHeight="1">
      <c r="A13" s="17">
        <v>9.0</v>
      </c>
      <c r="B13" s="13" t="s">
        <v>183</v>
      </c>
      <c r="C13" s="13" t="s">
        <v>208</v>
      </c>
      <c r="D13" s="17">
        <v>10793.0</v>
      </c>
      <c r="E13" s="17">
        <v>1678.0</v>
      </c>
      <c r="F13" s="18" t="str">
        <f t="shared" si="1"/>
        <v>15.5%</v>
      </c>
      <c r="G13" s="17">
        <v>0.0</v>
      </c>
      <c r="H13" s="17">
        <v>0.0</v>
      </c>
      <c r="I13" s="17">
        <v>188.0</v>
      </c>
      <c r="J13" s="13" t="s">
        <v>209</v>
      </c>
      <c r="K13" s="23" t="s">
        <v>14</v>
      </c>
      <c r="L13" s="13" t="s">
        <v>210</v>
      </c>
      <c r="M13" s="13" t="s">
        <v>211</v>
      </c>
    </row>
    <row r="14">
      <c r="A14" s="17">
        <v>10.0</v>
      </c>
      <c r="B14" s="13" t="s">
        <v>183</v>
      </c>
      <c r="C14" s="13" t="s">
        <v>212</v>
      </c>
      <c r="D14" s="17">
        <v>10793.0</v>
      </c>
      <c r="E14" s="17">
        <v>0.0</v>
      </c>
      <c r="F14" s="18" t="str">
        <f t="shared" si="1"/>
        <v>0.0%</v>
      </c>
      <c r="G14" s="17">
        <v>0.0</v>
      </c>
      <c r="H14" s="17">
        <v>0.0</v>
      </c>
      <c r="I14" s="17">
        <v>49.0</v>
      </c>
      <c r="J14" s="13" t="s">
        <v>140</v>
      </c>
      <c r="K14" s="20" t="s">
        <v>18</v>
      </c>
      <c r="L14" s="13" t="s">
        <v>119</v>
      </c>
      <c r="M14" s="13" t="s">
        <v>65</v>
      </c>
    </row>
    <row r="15">
      <c r="A15" s="17">
        <v>11.0</v>
      </c>
      <c r="B15" s="13" t="s">
        <v>183</v>
      </c>
      <c r="C15" s="13" t="s">
        <v>213</v>
      </c>
      <c r="D15" s="17">
        <v>10793.0</v>
      </c>
      <c r="E15" s="17">
        <v>0.0</v>
      </c>
      <c r="F15" s="18" t="str">
        <f t="shared" si="1"/>
        <v>0.0%</v>
      </c>
      <c r="G15" s="17">
        <v>0.0</v>
      </c>
      <c r="H15" s="17">
        <v>0.0</v>
      </c>
      <c r="I15" s="17">
        <v>33.0</v>
      </c>
      <c r="J15" s="13" t="s">
        <v>140</v>
      </c>
      <c r="K15" s="20" t="s">
        <v>18</v>
      </c>
      <c r="L15" s="13" t="s">
        <v>119</v>
      </c>
      <c r="M15" s="13" t="s">
        <v>65</v>
      </c>
    </row>
    <row r="16">
      <c r="A16" s="17">
        <v>12.0</v>
      </c>
      <c r="B16" s="13" t="s">
        <v>183</v>
      </c>
      <c r="C16" s="13" t="s">
        <v>214</v>
      </c>
      <c r="D16" s="17">
        <v>10793.0</v>
      </c>
      <c r="E16" s="17">
        <v>0.0</v>
      </c>
      <c r="F16" s="18" t="str">
        <f t="shared" si="1"/>
        <v>0.0%</v>
      </c>
      <c r="G16" s="17">
        <v>0.0</v>
      </c>
      <c r="H16" s="17">
        <v>2308.0</v>
      </c>
      <c r="I16" s="17">
        <v>70.0</v>
      </c>
      <c r="J16" s="13" t="s">
        <v>215</v>
      </c>
      <c r="K16" s="20" t="s">
        <v>18</v>
      </c>
      <c r="L16" s="13" t="s">
        <v>216</v>
      </c>
      <c r="M16" s="13" t="s">
        <v>65</v>
      </c>
    </row>
    <row r="17" ht="24.75" customHeight="1">
      <c r="A17" s="17">
        <v>13.0</v>
      </c>
      <c r="B17" s="13" t="s">
        <v>183</v>
      </c>
      <c r="C17" s="13" t="s">
        <v>217</v>
      </c>
      <c r="D17" s="17">
        <v>10793.0</v>
      </c>
      <c r="E17" s="17">
        <v>154.0</v>
      </c>
      <c r="F17" s="18" t="str">
        <f t="shared" si="1"/>
        <v>1.4%</v>
      </c>
      <c r="G17" s="17">
        <v>43.0</v>
      </c>
      <c r="H17" s="17">
        <v>46.0</v>
      </c>
      <c r="I17" s="17">
        <v>1067.0</v>
      </c>
      <c r="J17" s="13" t="s">
        <v>218</v>
      </c>
      <c r="K17" s="22" t="s">
        <v>15</v>
      </c>
      <c r="L17" s="13" t="s">
        <v>219</v>
      </c>
      <c r="M17" s="13" t="s">
        <v>198</v>
      </c>
    </row>
    <row r="18">
      <c r="A18" s="17">
        <v>14.0</v>
      </c>
      <c r="B18" s="13" t="s">
        <v>183</v>
      </c>
      <c r="C18" s="13" t="s">
        <v>220</v>
      </c>
      <c r="D18" s="17">
        <v>10793.0</v>
      </c>
      <c r="E18" s="17">
        <v>236.0</v>
      </c>
      <c r="F18" s="18" t="str">
        <f t="shared" si="1"/>
        <v>2.2%</v>
      </c>
      <c r="G18" s="17">
        <v>86.0</v>
      </c>
      <c r="H18" s="17">
        <v>0.0</v>
      </c>
      <c r="I18" s="17">
        <v>3206.0</v>
      </c>
      <c r="J18" s="13" t="s">
        <v>221</v>
      </c>
      <c r="K18" s="20" t="s">
        <v>18</v>
      </c>
      <c r="L18" s="13" t="s">
        <v>222</v>
      </c>
      <c r="M18" s="13" t="s">
        <v>65</v>
      </c>
    </row>
    <row r="19">
      <c r="A19" s="17">
        <v>15.0</v>
      </c>
      <c r="B19" s="13" t="s">
        <v>183</v>
      </c>
      <c r="C19" s="13" t="s">
        <v>223</v>
      </c>
      <c r="D19" s="17">
        <v>10793.0</v>
      </c>
      <c r="E19" s="17">
        <v>244.0</v>
      </c>
      <c r="F19" s="18" t="str">
        <f t="shared" si="1"/>
        <v>2.3%</v>
      </c>
      <c r="G19" s="17">
        <v>0.0</v>
      </c>
      <c r="H19" s="17">
        <v>0.0</v>
      </c>
      <c r="I19" s="17">
        <v>1378.0</v>
      </c>
      <c r="J19" s="13" t="s">
        <v>205</v>
      </c>
      <c r="K19" s="20" t="s">
        <v>18</v>
      </c>
      <c r="L19" s="13" t="s">
        <v>119</v>
      </c>
      <c r="M19" s="13" t="s">
        <v>65</v>
      </c>
    </row>
    <row r="20">
      <c r="A20" s="17">
        <v>16.0</v>
      </c>
      <c r="B20" s="13" t="s">
        <v>183</v>
      </c>
      <c r="C20" s="13" t="s">
        <v>224</v>
      </c>
      <c r="D20" s="17">
        <v>10793.0</v>
      </c>
      <c r="E20" s="17">
        <v>624.0</v>
      </c>
      <c r="F20" s="18" t="str">
        <f t="shared" si="1"/>
        <v>5.8%</v>
      </c>
      <c r="G20" s="17">
        <v>92.0</v>
      </c>
      <c r="H20" s="17">
        <v>0.0</v>
      </c>
      <c r="I20" s="17">
        <v>544.0</v>
      </c>
      <c r="J20" s="13" t="s">
        <v>225</v>
      </c>
      <c r="K20" s="20" t="s">
        <v>18</v>
      </c>
      <c r="L20" s="13" t="s">
        <v>226</v>
      </c>
      <c r="M20" s="13" t="s">
        <v>65</v>
      </c>
    </row>
    <row r="21" ht="15.75" customHeight="1">
      <c r="A21" s="17">
        <v>17.0</v>
      </c>
      <c r="B21" s="13" t="s">
        <v>183</v>
      </c>
      <c r="C21" s="13" t="s">
        <v>227</v>
      </c>
      <c r="D21" s="17">
        <v>10793.0</v>
      </c>
      <c r="E21" s="17">
        <v>0.0</v>
      </c>
      <c r="F21" s="18" t="str">
        <f t="shared" si="1"/>
        <v>0.0%</v>
      </c>
      <c r="G21" s="17">
        <v>0.0</v>
      </c>
      <c r="H21" s="17">
        <v>0.0</v>
      </c>
      <c r="I21" s="17">
        <v>490.0</v>
      </c>
      <c r="J21" s="13" t="s">
        <v>228</v>
      </c>
      <c r="K21" s="22" t="s">
        <v>15</v>
      </c>
      <c r="L21" s="13" t="s">
        <v>229</v>
      </c>
      <c r="M21" s="13" t="s">
        <v>198</v>
      </c>
    </row>
    <row r="22" ht="15.75" customHeight="1">
      <c r="A22" s="17">
        <v>18.0</v>
      </c>
      <c r="B22" s="13" t="s">
        <v>183</v>
      </c>
      <c r="C22" s="13" t="s">
        <v>230</v>
      </c>
      <c r="D22" s="17">
        <v>10793.0</v>
      </c>
      <c r="E22" s="17">
        <v>0.0</v>
      </c>
      <c r="F22" s="18" t="str">
        <f t="shared" si="1"/>
        <v>0.0%</v>
      </c>
      <c r="G22" s="17">
        <v>0.0</v>
      </c>
      <c r="H22" s="17">
        <v>0.0</v>
      </c>
      <c r="I22" s="17">
        <v>196.0</v>
      </c>
      <c r="J22" s="13" t="s">
        <v>140</v>
      </c>
      <c r="K22" s="20" t="s">
        <v>18</v>
      </c>
      <c r="L22" s="13" t="s">
        <v>119</v>
      </c>
      <c r="M22" s="13" t="s">
        <v>65</v>
      </c>
    </row>
    <row r="23" ht="15.75" customHeight="1">
      <c r="A23" s="17">
        <v>19.0</v>
      </c>
      <c r="B23" s="13" t="s">
        <v>183</v>
      </c>
      <c r="C23" s="13" t="s">
        <v>231</v>
      </c>
      <c r="D23" s="17">
        <v>10793.0</v>
      </c>
      <c r="E23" s="17">
        <v>255.0</v>
      </c>
      <c r="F23" s="18" t="str">
        <f t="shared" si="1"/>
        <v>2.4%</v>
      </c>
      <c r="G23" s="17">
        <v>0.0</v>
      </c>
      <c r="H23" s="17">
        <v>0.0</v>
      </c>
      <c r="I23" s="17">
        <v>81.0</v>
      </c>
      <c r="J23" s="13" t="s">
        <v>205</v>
      </c>
      <c r="K23" s="20" t="s">
        <v>18</v>
      </c>
      <c r="L23" s="13" t="s">
        <v>119</v>
      </c>
      <c r="M23" s="13" t="s">
        <v>65</v>
      </c>
    </row>
    <row r="24" ht="24.75" customHeight="1">
      <c r="A24" s="17">
        <v>20.0</v>
      </c>
      <c r="B24" s="13" t="s">
        <v>183</v>
      </c>
      <c r="C24" s="13" t="s">
        <v>232</v>
      </c>
      <c r="D24" s="17">
        <v>10793.0</v>
      </c>
      <c r="E24" s="17">
        <v>0.0</v>
      </c>
      <c r="F24" s="18" t="str">
        <f t="shared" si="1"/>
        <v>0.0%</v>
      </c>
      <c r="G24" s="13"/>
      <c r="H24" s="13"/>
      <c r="I24" s="17">
        <v>6.0</v>
      </c>
      <c r="J24" s="13" t="s">
        <v>233</v>
      </c>
      <c r="K24" s="22" t="s">
        <v>15</v>
      </c>
      <c r="L24" s="13" t="s">
        <v>234</v>
      </c>
      <c r="M24" s="13" t="s">
        <v>191</v>
      </c>
    </row>
    <row r="25" ht="24.75" customHeight="1">
      <c r="A25" s="17">
        <v>21.0</v>
      </c>
      <c r="B25" s="13" t="s">
        <v>235</v>
      </c>
      <c r="C25" s="13" t="s">
        <v>236</v>
      </c>
      <c r="D25" s="17">
        <v>2187.0</v>
      </c>
      <c r="E25" s="17">
        <v>0.0</v>
      </c>
      <c r="F25" s="18" t="str">
        <f t="shared" si="1"/>
        <v>0.0%</v>
      </c>
      <c r="G25" s="13"/>
      <c r="H25" s="13"/>
      <c r="I25" s="17">
        <v>2163.0</v>
      </c>
      <c r="J25" s="13" t="s">
        <v>237</v>
      </c>
      <c r="K25" s="19" t="s">
        <v>17</v>
      </c>
      <c r="L25" s="13" t="s">
        <v>238</v>
      </c>
      <c r="M25" s="13" t="s">
        <v>239</v>
      </c>
    </row>
    <row r="26" ht="24.75" customHeight="1">
      <c r="A26" s="17">
        <v>22.0</v>
      </c>
      <c r="B26" s="13" t="s">
        <v>235</v>
      </c>
      <c r="C26" s="13" t="s">
        <v>240</v>
      </c>
      <c r="D26" s="17">
        <v>2187.0</v>
      </c>
      <c r="E26" s="17">
        <v>0.0</v>
      </c>
      <c r="F26" s="18" t="str">
        <f t="shared" si="1"/>
        <v>0.0%</v>
      </c>
      <c r="G26" s="17">
        <v>0.0</v>
      </c>
      <c r="H26" s="13"/>
      <c r="I26" s="17">
        <v>160.0</v>
      </c>
      <c r="J26" s="13" t="s">
        <v>241</v>
      </c>
      <c r="K26" s="22" t="s">
        <v>15</v>
      </c>
      <c r="L26" s="13" t="s">
        <v>242</v>
      </c>
      <c r="M26" s="13" t="s">
        <v>239</v>
      </c>
    </row>
    <row r="27" ht="15.75" customHeight="1">
      <c r="A27" s="17">
        <v>23.0</v>
      </c>
      <c r="B27" s="13" t="s">
        <v>235</v>
      </c>
      <c r="C27" s="13" t="s">
        <v>192</v>
      </c>
      <c r="D27" s="17">
        <v>2187.0</v>
      </c>
      <c r="E27" s="17">
        <v>0.0</v>
      </c>
      <c r="F27" s="18" t="str">
        <f t="shared" si="1"/>
        <v>0.0%</v>
      </c>
      <c r="G27" s="13"/>
      <c r="H27" s="13"/>
      <c r="I27" s="17">
        <v>17.0</v>
      </c>
      <c r="J27" s="13" t="s">
        <v>243</v>
      </c>
      <c r="K27" s="19" t="s">
        <v>17</v>
      </c>
      <c r="L27" s="13" t="s">
        <v>244</v>
      </c>
      <c r="M27" s="13" t="s">
        <v>245</v>
      </c>
    </row>
    <row r="28" ht="15.75" customHeight="1">
      <c r="A28" s="17">
        <v>24.0</v>
      </c>
      <c r="B28" s="13" t="s">
        <v>235</v>
      </c>
      <c r="C28" s="13" t="s">
        <v>195</v>
      </c>
      <c r="D28" s="17">
        <v>2187.0</v>
      </c>
      <c r="E28" s="17">
        <v>0.0</v>
      </c>
      <c r="F28" s="18" t="str">
        <f t="shared" si="1"/>
        <v>0.0%</v>
      </c>
      <c r="G28" s="13"/>
      <c r="H28" s="13"/>
      <c r="I28" s="17">
        <v>32.0</v>
      </c>
      <c r="J28" s="13" t="s">
        <v>246</v>
      </c>
      <c r="K28" s="19" t="s">
        <v>17</v>
      </c>
      <c r="L28" s="13" t="s">
        <v>247</v>
      </c>
      <c r="M28" s="13" t="s">
        <v>248</v>
      </c>
    </row>
    <row r="29" ht="24.75" customHeight="1">
      <c r="A29" s="17">
        <v>25.0</v>
      </c>
      <c r="B29" s="13" t="s">
        <v>235</v>
      </c>
      <c r="C29" s="13" t="s">
        <v>249</v>
      </c>
      <c r="D29" s="17">
        <v>2187.0</v>
      </c>
      <c r="E29" s="17">
        <v>0.0</v>
      </c>
      <c r="F29" s="18" t="str">
        <f t="shared" si="1"/>
        <v>0.0%</v>
      </c>
      <c r="G29" s="13"/>
      <c r="H29" s="13"/>
      <c r="I29" s="17">
        <v>9.0</v>
      </c>
      <c r="J29" s="13" t="s">
        <v>250</v>
      </c>
      <c r="K29" s="19" t="s">
        <v>17</v>
      </c>
      <c r="L29" s="13" t="s">
        <v>251</v>
      </c>
      <c r="M29" s="13" t="s">
        <v>252</v>
      </c>
    </row>
    <row r="30" ht="24.75" customHeight="1">
      <c r="A30" s="17">
        <v>26.0</v>
      </c>
      <c r="B30" s="13" t="s">
        <v>235</v>
      </c>
      <c r="C30" s="13" t="s">
        <v>253</v>
      </c>
      <c r="D30" s="17">
        <v>2187.0</v>
      </c>
      <c r="E30" s="17">
        <v>0.0</v>
      </c>
      <c r="F30" s="18" t="str">
        <f t="shared" si="1"/>
        <v>0.0%</v>
      </c>
      <c r="G30" s="13"/>
      <c r="H30" s="13"/>
      <c r="I30" s="17">
        <v>25.0</v>
      </c>
      <c r="J30" s="13" t="s">
        <v>254</v>
      </c>
      <c r="K30" s="20" t="s">
        <v>18</v>
      </c>
      <c r="L30" s="13" t="s">
        <v>255</v>
      </c>
      <c r="M30" s="13" t="s">
        <v>252</v>
      </c>
    </row>
    <row r="31" ht="15.75" customHeight="1">
      <c r="A31" s="17">
        <v>27.0</v>
      </c>
      <c r="B31" s="13" t="s">
        <v>235</v>
      </c>
      <c r="C31" s="13" t="s">
        <v>256</v>
      </c>
      <c r="D31" s="17">
        <v>2187.0</v>
      </c>
      <c r="E31" s="17">
        <v>0.0</v>
      </c>
      <c r="F31" s="18" t="str">
        <f t="shared" si="1"/>
        <v>0.0%</v>
      </c>
      <c r="G31" s="17">
        <v>0.0</v>
      </c>
      <c r="H31" s="17">
        <v>7.0</v>
      </c>
      <c r="I31" s="17">
        <v>245.0</v>
      </c>
      <c r="J31" s="13" t="s">
        <v>257</v>
      </c>
      <c r="K31" s="22" t="s">
        <v>15</v>
      </c>
      <c r="L31" s="13" t="s">
        <v>258</v>
      </c>
      <c r="M31" s="13" t="s">
        <v>239</v>
      </c>
    </row>
    <row r="32" ht="15.75" customHeight="1">
      <c r="A32" s="17">
        <v>28.0</v>
      </c>
      <c r="B32" s="13" t="s">
        <v>235</v>
      </c>
      <c r="C32" s="13" t="s">
        <v>259</v>
      </c>
      <c r="D32" s="17">
        <v>2187.0</v>
      </c>
      <c r="E32" s="17">
        <v>0.0</v>
      </c>
      <c r="F32" s="18" t="str">
        <f t="shared" si="1"/>
        <v>0.0%</v>
      </c>
      <c r="G32" s="17">
        <v>0.0</v>
      </c>
      <c r="H32" s="13"/>
      <c r="I32" s="17">
        <v>96.0</v>
      </c>
      <c r="J32" s="13" t="s">
        <v>260</v>
      </c>
      <c r="K32" s="23" t="s">
        <v>14</v>
      </c>
      <c r="L32" s="13" t="s">
        <v>261</v>
      </c>
      <c r="M32" s="13" t="s">
        <v>239</v>
      </c>
    </row>
    <row r="33" ht="47.25" customHeight="1">
      <c r="A33" s="17">
        <v>29.0</v>
      </c>
      <c r="B33" s="13" t="s">
        <v>235</v>
      </c>
      <c r="C33" s="13" t="s">
        <v>262</v>
      </c>
      <c r="D33" s="17">
        <v>2187.0</v>
      </c>
      <c r="E33" s="17">
        <v>194.0</v>
      </c>
      <c r="F33" s="18" t="str">
        <f t="shared" si="1"/>
        <v>8.9%</v>
      </c>
      <c r="G33" s="17">
        <v>0.0</v>
      </c>
      <c r="H33" s="13"/>
      <c r="I33" s="17">
        <v>88.0</v>
      </c>
      <c r="J33" s="13" t="s">
        <v>263</v>
      </c>
      <c r="K33" s="23" t="s">
        <v>14</v>
      </c>
      <c r="L33" s="13" t="s">
        <v>264</v>
      </c>
      <c r="M33" s="13" t="s">
        <v>239</v>
      </c>
    </row>
    <row r="34" ht="15.75" customHeight="1">
      <c r="A34" s="17">
        <v>30.0</v>
      </c>
      <c r="B34" s="13" t="s">
        <v>235</v>
      </c>
      <c r="C34" s="13" t="s">
        <v>265</v>
      </c>
      <c r="D34" s="17">
        <v>2187.0</v>
      </c>
      <c r="E34" s="17">
        <v>179.0</v>
      </c>
      <c r="F34" s="18" t="str">
        <f t="shared" si="1"/>
        <v>8.2%</v>
      </c>
      <c r="G34" s="17">
        <v>15.0</v>
      </c>
      <c r="H34" s="17">
        <v>0.0</v>
      </c>
      <c r="I34" s="17">
        <v>316.0</v>
      </c>
      <c r="J34" s="13" t="s">
        <v>266</v>
      </c>
      <c r="K34" s="22" t="s">
        <v>15</v>
      </c>
      <c r="L34" s="13" t="s">
        <v>267</v>
      </c>
      <c r="M34" s="13" t="s">
        <v>239</v>
      </c>
    </row>
    <row r="35" ht="24.75" customHeight="1">
      <c r="A35" s="17">
        <v>31.0</v>
      </c>
      <c r="B35" s="13" t="s">
        <v>235</v>
      </c>
      <c r="C35" s="13" t="s">
        <v>268</v>
      </c>
      <c r="D35" s="17">
        <v>2187.0</v>
      </c>
      <c r="E35" s="17">
        <v>0.0</v>
      </c>
      <c r="F35" s="18" t="str">
        <f t="shared" si="1"/>
        <v>0.0%</v>
      </c>
      <c r="G35" s="17">
        <v>62.0</v>
      </c>
      <c r="H35" s="17">
        <v>0.0</v>
      </c>
      <c r="I35" s="17">
        <v>1661.0</v>
      </c>
      <c r="J35" s="13" t="s">
        <v>269</v>
      </c>
      <c r="K35" s="22" t="s">
        <v>15</v>
      </c>
      <c r="L35" s="13" t="s">
        <v>270</v>
      </c>
      <c r="M35" s="13" t="s">
        <v>271</v>
      </c>
    </row>
    <row r="36" ht="24.75" customHeight="1">
      <c r="A36" s="17">
        <v>32.0</v>
      </c>
      <c r="B36" s="13" t="s">
        <v>235</v>
      </c>
      <c r="C36" s="13" t="s">
        <v>272</v>
      </c>
      <c r="D36" s="17">
        <v>2187.0</v>
      </c>
      <c r="E36" s="17">
        <v>0.0</v>
      </c>
      <c r="F36" s="18" t="str">
        <f t="shared" si="1"/>
        <v>0.0%</v>
      </c>
      <c r="G36" s="13"/>
      <c r="H36" s="13"/>
      <c r="I36" s="17">
        <v>14.0</v>
      </c>
      <c r="J36" s="13" t="s">
        <v>273</v>
      </c>
      <c r="K36" s="23" t="s">
        <v>14</v>
      </c>
      <c r="L36" s="13" t="s">
        <v>274</v>
      </c>
      <c r="M36" s="13" t="s">
        <v>239</v>
      </c>
    </row>
    <row r="37" ht="15.75" customHeight="1">
      <c r="A37" s="17">
        <v>33.0</v>
      </c>
      <c r="B37" s="13" t="s">
        <v>275</v>
      </c>
      <c r="C37" s="13" t="s">
        <v>276</v>
      </c>
      <c r="D37" s="17">
        <v>5665.0</v>
      </c>
      <c r="E37" s="17">
        <v>0.0</v>
      </c>
      <c r="F37" s="18" t="str">
        <f t="shared" si="1"/>
        <v>0.0%</v>
      </c>
      <c r="G37" s="13"/>
      <c r="H37" s="13"/>
      <c r="I37" s="17">
        <v>5598.0</v>
      </c>
      <c r="J37" s="13" t="s">
        <v>277</v>
      </c>
      <c r="K37" s="19" t="s">
        <v>17</v>
      </c>
      <c r="L37" s="13" t="s">
        <v>278</v>
      </c>
      <c r="M37" s="13" t="s">
        <v>279</v>
      </c>
    </row>
    <row r="38" ht="15.75" customHeight="1">
      <c r="A38" s="17">
        <v>34.0</v>
      </c>
      <c r="B38" s="13" t="s">
        <v>275</v>
      </c>
      <c r="C38" s="13" t="s">
        <v>192</v>
      </c>
      <c r="D38" s="17">
        <v>5665.0</v>
      </c>
      <c r="E38" s="17">
        <v>0.0</v>
      </c>
      <c r="F38" s="18" t="str">
        <f t="shared" si="1"/>
        <v>0.0%</v>
      </c>
      <c r="G38" s="13"/>
      <c r="H38" s="13"/>
      <c r="I38" s="17">
        <v>17.0</v>
      </c>
      <c r="J38" s="13" t="s">
        <v>280</v>
      </c>
      <c r="K38" s="19" t="s">
        <v>17</v>
      </c>
      <c r="L38" s="13" t="s">
        <v>244</v>
      </c>
      <c r="M38" s="13" t="s">
        <v>281</v>
      </c>
    </row>
    <row r="39" ht="24.75" customHeight="1">
      <c r="A39" s="17">
        <v>35.0</v>
      </c>
      <c r="B39" s="13" t="s">
        <v>275</v>
      </c>
      <c r="C39" s="13" t="s">
        <v>282</v>
      </c>
      <c r="D39" s="17">
        <v>5665.0</v>
      </c>
      <c r="E39" s="17">
        <v>0.0</v>
      </c>
      <c r="F39" s="18" t="str">
        <f t="shared" si="1"/>
        <v>0.0%</v>
      </c>
      <c r="G39" s="17">
        <v>0.0</v>
      </c>
      <c r="H39" s="13"/>
      <c r="I39" s="17">
        <v>222.0</v>
      </c>
      <c r="J39" s="13" t="s">
        <v>283</v>
      </c>
      <c r="K39" s="22" t="s">
        <v>15</v>
      </c>
      <c r="L39" s="13" t="s">
        <v>284</v>
      </c>
      <c r="M39" s="13" t="s">
        <v>285</v>
      </c>
    </row>
    <row r="40" ht="15.75" customHeight="1">
      <c r="A40" s="17">
        <v>36.0</v>
      </c>
      <c r="B40" s="13" t="s">
        <v>275</v>
      </c>
      <c r="C40" s="13" t="s">
        <v>286</v>
      </c>
      <c r="D40" s="17">
        <v>5665.0</v>
      </c>
      <c r="E40" s="17">
        <v>207.0</v>
      </c>
      <c r="F40" s="18" t="str">
        <f t="shared" si="1"/>
        <v>3.7%</v>
      </c>
      <c r="G40" s="17">
        <v>44.0</v>
      </c>
      <c r="H40" s="17">
        <v>5.0</v>
      </c>
      <c r="I40" s="17">
        <v>119.0</v>
      </c>
      <c r="J40" s="13" t="s">
        <v>287</v>
      </c>
      <c r="K40" s="20" t="s">
        <v>18</v>
      </c>
      <c r="L40" s="13" t="s">
        <v>288</v>
      </c>
      <c r="M40" s="13" t="s">
        <v>65</v>
      </c>
    </row>
    <row r="41" ht="15.75" customHeight="1">
      <c r="A41" s="17">
        <v>37.0</v>
      </c>
      <c r="B41" s="13" t="s">
        <v>275</v>
      </c>
      <c r="C41" s="13" t="s">
        <v>289</v>
      </c>
      <c r="D41" s="17">
        <v>5665.0</v>
      </c>
      <c r="E41" s="17">
        <v>133.0</v>
      </c>
      <c r="F41" s="18" t="str">
        <f t="shared" si="1"/>
        <v>2.3%</v>
      </c>
      <c r="G41" s="13"/>
      <c r="H41" s="13"/>
      <c r="I41" s="17">
        <v>8.0</v>
      </c>
      <c r="J41" s="13" t="s">
        <v>290</v>
      </c>
      <c r="K41" s="20" t="s">
        <v>18</v>
      </c>
      <c r="L41" s="13" t="s">
        <v>291</v>
      </c>
      <c r="M41" s="13" t="s">
        <v>65</v>
      </c>
    </row>
    <row r="42" ht="24.75" customHeight="1">
      <c r="A42" s="17">
        <v>38.0</v>
      </c>
      <c r="B42" s="13" t="s">
        <v>275</v>
      </c>
      <c r="C42" s="13" t="s">
        <v>292</v>
      </c>
      <c r="D42" s="17">
        <v>5665.0</v>
      </c>
      <c r="E42" s="17">
        <v>0.0</v>
      </c>
      <c r="F42" s="18" t="str">
        <f t="shared" si="1"/>
        <v>0.0%</v>
      </c>
      <c r="G42" s="13"/>
      <c r="H42" s="13"/>
      <c r="I42" s="17">
        <v>33.0</v>
      </c>
      <c r="J42" s="13" t="s">
        <v>293</v>
      </c>
      <c r="K42" s="21" t="s">
        <v>16</v>
      </c>
      <c r="L42" s="13" t="s">
        <v>294</v>
      </c>
      <c r="M42" s="13" t="s">
        <v>281</v>
      </c>
    </row>
    <row r="43" ht="24.75" customHeight="1">
      <c r="A43" s="17">
        <v>39.0</v>
      </c>
      <c r="B43" s="13" t="s">
        <v>275</v>
      </c>
      <c r="C43" s="13" t="s">
        <v>295</v>
      </c>
      <c r="D43" s="17">
        <v>5665.0</v>
      </c>
      <c r="E43" s="17">
        <v>247.0</v>
      </c>
      <c r="F43" s="18" t="str">
        <f t="shared" si="1"/>
        <v>4.4%</v>
      </c>
      <c r="G43" s="13"/>
      <c r="H43" s="13"/>
      <c r="I43" s="17">
        <v>6.0</v>
      </c>
      <c r="J43" s="13" t="s">
        <v>296</v>
      </c>
      <c r="K43" s="21" t="s">
        <v>16</v>
      </c>
      <c r="L43" s="13" t="s">
        <v>297</v>
      </c>
      <c r="M43" s="13" t="s">
        <v>298</v>
      </c>
    </row>
    <row r="44" ht="15.75" customHeight="1">
      <c r="A44" s="17">
        <v>40.0</v>
      </c>
      <c r="B44" s="13" t="s">
        <v>275</v>
      </c>
      <c r="C44" s="13" t="s">
        <v>299</v>
      </c>
      <c r="D44" s="17">
        <v>5665.0</v>
      </c>
      <c r="E44" s="17">
        <v>0.0</v>
      </c>
      <c r="F44" s="18" t="str">
        <f t="shared" si="1"/>
        <v>0.0%</v>
      </c>
      <c r="G44" s="13"/>
      <c r="H44" s="13"/>
      <c r="I44" s="17">
        <v>36.0</v>
      </c>
      <c r="J44" s="13" t="s">
        <v>300</v>
      </c>
      <c r="K44" s="19" t="s">
        <v>17</v>
      </c>
      <c r="L44" s="13" t="s">
        <v>301</v>
      </c>
      <c r="M44" s="13" t="s">
        <v>281</v>
      </c>
    </row>
    <row r="45" ht="36.0" customHeight="1">
      <c r="A45" s="17">
        <v>41.0</v>
      </c>
      <c r="B45" s="13" t="s">
        <v>275</v>
      </c>
      <c r="C45" s="13" t="s">
        <v>302</v>
      </c>
      <c r="D45" s="17">
        <v>5665.0</v>
      </c>
      <c r="E45" s="17">
        <v>0.0</v>
      </c>
      <c r="F45" s="18" t="str">
        <f t="shared" si="1"/>
        <v>0.0%</v>
      </c>
      <c r="G45" s="13"/>
      <c r="H45" s="13"/>
      <c r="I45" s="17">
        <v>6.0</v>
      </c>
      <c r="J45" s="13" t="s">
        <v>303</v>
      </c>
      <c r="K45" s="23" t="s">
        <v>14</v>
      </c>
      <c r="L45" s="13" t="s">
        <v>304</v>
      </c>
      <c r="M45" s="13" t="s">
        <v>305</v>
      </c>
    </row>
    <row r="46" ht="15.75" customHeight="1">
      <c r="A46" s="17">
        <v>42.0</v>
      </c>
      <c r="B46" s="13" t="s">
        <v>275</v>
      </c>
      <c r="C46" s="13" t="s">
        <v>306</v>
      </c>
      <c r="D46" s="17">
        <v>5665.0</v>
      </c>
      <c r="E46" s="17">
        <v>103.0</v>
      </c>
      <c r="F46" s="18" t="str">
        <f t="shared" si="1"/>
        <v>1.8%</v>
      </c>
      <c r="G46" s="17">
        <v>59.0</v>
      </c>
      <c r="H46" s="17">
        <v>14.0</v>
      </c>
      <c r="I46" s="17">
        <v>362.0</v>
      </c>
      <c r="J46" s="13" t="s">
        <v>307</v>
      </c>
      <c r="K46" s="23" t="s">
        <v>14</v>
      </c>
      <c r="L46" s="13" t="s">
        <v>308</v>
      </c>
      <c r="M46" s="13" t="s">
        <v>309</v>
      </c>
    </row>
    <row r="47" ht="15.75" customHeight="1">
      <c r="A47" s="17">
        <v>43.0</v>
      </c>
      <c r="B47" s="13" t="s">
        <v>275</v>
      </c>
      <c r="C47" s="13" t="s">
        <v>310</v>
      </c>
      <c r="D47" s="17">
        <v>5665.0</v>
      </c>
      <c r="E47" s="17">
        <v>0.0</v>
      </c>
      <c r="F47" s="18" t="str">
        <f t="shared" si="1"/>
        <v>0.0%</v>
      </c>
      <c r="G47" s="13"/>
      <c r="H47" s="13"/>
      <c r="I47" s="17">
        <v>6.0</v>
      </c>
      <c r="J47" s="13" t="s">
        <v>311</v>
      </c>
      <c r="K47" s="23" t="s">
        <v>14</v>
      </c>
      <c r="L47" s="13" t="s">
        <v>312</v>
      </c>
      <c r="M47" s="13" t="s">
        <v>313</v>
      </c>
    </row>
    <row r="48" ht="15.75" customHeight="1">
      <c r="A48" s="17">
        <v>44.0</v>
      </c>
      <c r="B48" s="13" t="s">
        <v>275</v>
      </c>
      <c r="C48" s="13" t="s">
        <v>314</v>
      </c>
      <c r="D48" s="17">
        <v>5665.0</v>
      </c>
      <c r="E48" s="17">
        <v>0.0</v>
      </c>
      <c r="F48" s="18" t="str">
        <f t="shared" si="1"/>
        <v>0.0%</v>
      </c>
      <c r="G48" s="13"/>
      <c r="H48" s="13"/>
      <c r="I48" s="17">
        <v>4.0</v>
      </c>
      <c r="J48" s="13" t="s">
        <v>315</v>
      </c>
      <c r="K48" s="23" t="s">
        <v>14</v>
      </c>
      <c r="L48" s="13" t="s">
        <v>312</v>
      </c>
      <c r="M48" s="13" t="s">
        <v>313</v>
      </c>
    </row>
    <row r="49" ht="15.75" customHeight="1">
      <c r="A49" s="17">
        <v>45.0</v>
      </c>
      <c r="B49" s="13" t="s">
        <v>275</v>
      </c>
      <c r="C49" s="13" t="s">
        <v>316</v>
      </c>
      <c r="D49" s="17">
        <v>5665.0</v>
      </c>
      <c r="E49" s="17">
        <v>411.0</v>
      </c>
      <c r="F49" s="18" t="str">
        <f t="shared" si="1"/>
        <v>7.3%</v>
      </c>
      <c r="G49" s="17">
        <v>52.0</v>
      </c>
      <c r="H49" s="17">
        <v>6.0</v>
      </c>
      <c r="I49" s="17">
        <v>50.0</v>
      </c>
      <c r="J49" s="13" t="s">
        <v>307</v>
      </c>
      <c r="K49" s="23" t="s">
        <v>14</v>
      </c>
      <c r="L49" s="13" t="s">
        <v>317</v>
      </c>
      <c r="M49" s="13" t="s">
        <v>313</v>
      </c>
    </row>
    <row r="50" ht="15.75" customHeight="1">
      <c r="A50" s="17">
        <v>46.0</v>
      </c>
      <c r="B50" s="13" t="s">
        <v>275</v>
      </c>
      <c r="C50" s="13" t="s">
        <v>318</v>
      </c>
      <c r="D50" s="17">
        <v>5665.0</v>
      </c>
      <c r="E50" s="17">
        <v>449.0</v>
      </c>
      <c r="F50" s="18" t="str">
        <f t="shared" si="1"/>
        <v>7.9%</v>
      </c>
      <c r="G50" s="17">
        <v>0.0</v>
      </c>
      <c r="H50" s="13"/>
      <c r="I50" s="17">
        <v>89.0</v>
      </c>
      <c r="J50" s="13" t="s">
        <v>319</v>
      </c>
      <c r="K50" s="22" t="s">
        <v>15</v>
      </c>
      <c r="L50" s="13" t="s">
        <v>320</v>
      </c>
      <c r="M50" s="13" t="s">
        <v>313</v>
      </c>
    </row>
    <row r="51" ht="36.0" customHeight="1">
      <c r="A51" s="17">
        <v>47.0</v>
      </c>
      <c r="B51" s="13" t="s">
        <v>275</v>
      </c>
      <c r="C51" s="13" t="s">
        <v>321</v>
      </c>
      <c r="D51" s="17">
        <v>5665.0</v>
      </c>
      <c r="E51" s="17">
        <v>39.0</v>
      </c>
      <c r="F51" s="18" t="str">
        <f t="shared" si="1"/>
        <v>0.7%</v>
      </c>
      <c r="G51" s="13"/>
      <c r="H51" s="13"/>
      <c r="I51" s="17">
        <v>4.0</v>
      </c>
      <c r="J51" s="13" t="s">
        <v>322</v>
      </c>
      <c r="K51" s="23" t="s">
        <v>14</v>
      </c>
      <c r="L51" s="13" t="s">
        <v>323</v>
      </c>
      <c r="M51" s="13" t="s">
        <v>324</v>
      </c>
    </row>
    <row r="52" ht="24.75" customHeight="1">
      <c r="A52" s="17">
        <v>48.0</v>
      </c>
      <c r="B52" s="13" t="s">
        <v>325</v>
      </c>
      <c r="C52" s="13" t="s">
        <v>195</v>
      </c>
      <c r="D52" s="17">
        <v>30.0</v>
      </c>
      <c r="E52" s="17">
        <v>0.0</v>
      </c>
      <c r="F52" s="18" t="str">
        <f t="shared" si="1"/>
        <v>0.0%</v>
      </c>
      <c r="G52" s="13"/>
      <c r="H52" s="13"/>
      <c r="I52" s="17">
        <v>30.0</v>
      </c>
      <c r="J52" s="13" t="s">
        <v>326</v>
      </c>
      <c r="K52" s="19" t="s">
        <v>17</v>
      </c>
      <c r="L52" s="13" t="s">
        <v>327</v>
      </c>
      <c r="M52" s="13" t="s">
        <v>198</v>
      </c>
    </row>
    <row r="53" ht="15.75" customHeight="1">
      <c r="A53" s="17">
        <v>49.0</v>
      </c>
      <c r="B53" s="13" t="s">
        <v>325</v>
      </c>
      <c r="C53" s="13" t="s">
        <v>328</v>
      </c>
      <c r="D53" s="17">
        <v>30.0</v>
      </c>
      <c r="E53" s="17">
        <v>0.0</v>
      </c>
      <c r="F53" s="18" t="str">
        <f t="shared" si="1"/>
        <v>0.0%</v>
      </c>
      <c r="G53" s="13"/>
      <c r="H53" s="13"/>
      <c r="I53" s="17">
        <v>30.0</v>
      </c>
      <c r="J53" s="13" t="s">
        <v>329</v>
      </c>
      <c r="K53" s="21" t="s">
        <v>16</v>
      </c>
      <c r="L53" s="13" t="s">
        <v>119</v>
      </c>
      <c r="M53" s="13" t="s">
        <v>65</v>
      </c>
    </row>
    <row r="54" ht="15.75" customHeight="1">
      <c r="A54" s="17">
        <v>50.0</v>
      </c>
      <c r="B54" s="13" t="s">
        <v>325</v>
      </c>
      <c r="C54" s="13" t="s">
        <v>330</v>
      </c>
      <c r="D54" s="17">
        <v>30.0</v>
      </c>
      <c r="E54" s="17">
        <v>0.0</v>
      </c>
      <c r="F54" s="18" t="str">
        <f t="shared" si="1"/>
        <v>0.0%</v>
      </c>
      <c r="G54" s="13"/>
      <c r="H54" s="13"/>
      <c r="I54" s="17">
        <v>18.0</v>
      </c>
      <c r="J54" s="13" t="s">
        <v>331</v>
      </c>
      <c r="K54" s="21" t="s">
        <v>16</v>
      </c>
      <c r="L54" s="13" t="s">
        <v>332</v>
      </c>
      <c r="M54" s="13" t="s">
        <v>333</v>
      </c>
    </row>
    <row r="55" ht="15.75" customHeight="1">
      <c r="A55" s="17">
        <v>51.0</v>
      </c>
      <c r="B55" s="13" t="s">
        <v>325</v>
      </c>
      <c r="C55" s="13" t="s">
        <v>334</v>
      </c>
      <c r="D55" s="17">
        <v>30.0</v>
      </c>
      <c r="E55" s="17">
        <v>0.0</v>
      </c>
      <c r="F55" s="18" t="str">
        <f t="shared" si="1"/>
        <v>0.0%</v>
      </c>
      <c r="G55" s="13"/>
      <c r="H55" s="13"/>
      <c r="I55" s="17">
        <v>2.0</v>
      </c>
      <c r="J55" s="13" t="s">
        <v>335</v>
      </c>
      <c r="K55" s="21" t="s">
        <v>16</v>
      </c>
      <c r="L55" s="13" t="s">
        <v>336</v>
      </c>
      <c r="M55" s="13" t="s">
        <v>191</v>
      </c>
    </row>
    <row r="56" ht="15.75" customHeight="1">
      <c r="A56" s="17">
        <v>52.0</v>
      </c>
      <c r="B56" s="13" t="s">
        <v>325</v>
      </c>
      <c r="C56" s="13" t="s">
        <v>337</v>
      </c>
      <c r="D56" s="17">
        <v>30.0</v>
      </c>
      <c r="E56" s="17">
        <v>0.0</v>
      </c>
      <c r="F56" s="18" t="str">
        <f t="shared" si="1"/>
        <v>0.0%</v>
      </c>
      <c r="G56" s="13"/>
      <c r="H56" s="13"/>
      <c r="I56" s="17">
        <v>7.0</v>
      </c>
      <c r="J56" s="13" t="s">
        <v>329</v>
      </c>
      <c r="K56" s="20" t="s">
        <v>18</v>
      </c>
      <c r="L56" s="13" t="s">
        <v>119</v>
      </c>
      <c r="M56" s="13" t="s">
        <v>65</v>
      </c>
    </row>
    <row r="57" ht="36.0" customHeight="1">
      <c r="A57" s="17">
        <v>53.0</v>
      </c>
      <c r="B57" s="13" t="s">
        <v>325</v>
      </c>
      <c r="C57" s="13" t="s">
        <v>268</v>
      </c>
      <c r="D57" s="17">
        <v>30.0</v>
      </c>
      <c r="E57" s="17">
        <v>0.0</v>
      </c>
      <c r="F57" s="18" t="str">
        <f t="shared" si="1"/>
        <v>0.0%</v>
      </c>
      <c r="G57" s="17">
        <v>0.0</v>
      </c>
      <c r="H57" s="17">
        <v>0.0</v>
      </c>
      <c r="I57" s="17">
        <v>25.0</v>
      </c>
      <c r="J57" s="13" t="s">
        <v>338</v>
      </c>
      <c r="K57" s="23" t="s">
        <v>14</v>
      </c>
      <c r="L57" s="13" t="s">
        <v>339</v>
      </c>
      <c r="M57" s="13" t="s">
        <v>340</v>
      </c>
    </row>
    <row r="58" ht="15.75" customHeight="1">
      <c r="A58" s="17">
        <v>54.0</v>
      </c>
      <c r="B58" s="13" t="s">
        <v>325</v>
      </c>
      <c r="C58" s="13" t="s">
        <v>341</v>
      </c>
      <c r="D58" s="17">
        <v>30.0</v>
      </c>
      <c r="E58" s="17">
        <v>0.0</v>
      </c>
      <c r="F58" s="18" t="str">
        <f t="shared" si="1"/>
        <v>0.0%</v>
      </c>
      <c r="G58" s="17">
        <v>0.0</v>
      </c>
      <c r="H58" s="17">
        <v>0.0</v>
      </c>
      <c r="I58" s="17">
        <v>4.0</v>
      </c>
      <c r="J58" s="13" t="s">
        <v>140</v>
      </c>
      <c r="K58" s="20" t="s">
        <v>18</v>
      </c>
      <c r="L58" s="13" t="s">
        <v>119</v>
      </c>
      <c r="M58" s="13" t="s">
        <v>65</v>
      </c>
    </row>
    <row r="59" ht="15.75" customHeight="1">
      <c r="A59" s="17">
        <v>55.0</v>
      </c>
      <c r="B59" s="13" t="s">
        <v>325</v>
      </c>
      <c r="C59" s="13" t="s">
        <v>342</v>
      </c>
      <c r="D59" s="17">
        <v>30.0</v>
      </c>
      <c r="E59" s="17">
        <v>0.0</v>
      </c>
      <c r="F59" s="18" t="str">
        <f t="shared" si="1"/>
        <v>0.0%</v>
      </c>
      <c r="G59" s="13"/>
      <c r="H59" s="13"/>
      <c r="I59" s="17">
        <v>2.0</v>
      </c>
      <c r="J59" s="13" t="s">
        <v>343</v>
      </c>
      <c r="K59" s="20" t="s">
        <v>18</v>
      </c>
      <c r="L59" s="13" t="s">
        <v>119</v>
      </c>
      <c r="M59" s="13" t="s">
        <v>65</v>
      </c>
    </row>
    <row r="60" ht="15.75" customHeight="1">
      <c r="A60" s="17">
        <v>56.0</v>
      </c>
      <c r="B60" s="13" t="s">
        <v>325</v>
      </c>
      <c r="C60" s="13" t="s">
        <v>344</v>
      </c>
      <c r="D60" s="17">
        <v>30.0</v>
      </c>
      <c r="E60" s="17">
        <v>0.0</v>
      </c>
      <c r="F60" s="18" t="str">
        <f t="shared" si="1"/>
        <v>0.0%</v>
      </c>
      <c r="G60" s="13"/>
      <c r="H60" s="13"/>
      <c r="I60" s="17">
        <v>8.0</v>
      </c>
      <c r="J60" s="13" t="s">
        <v>345</v>
      </c>
      <c r="K60" s="19" t="s">
        <v>17</v>
      </c>
      <c r="L60" s="13" t="s">
        <v>346</v>
      </c>
      <c r="M60" s="13" t="s">
        <v>248</v>
      </c>
    </row>
    <row r="61" ht="15.75" customHeight="1">
      <c r="A61" s="17">
        <v>57.0</v>
      </c>
      <c r="B61" s="13" t="s">
        <v>325</v>
      </c>
      <c r="C61" s="13" t="s">
        <v>347</v>
      </c>
      <c r="D61" s="17">
        <v>30.0</v>
      </c>
      <c r="E61" s="17">
        <v>0.0</v>
      </c>
      <c r="F61" s="18" t="str">
        <f t="shared" si="1"/>
        <v>0.0%</v>
      </c>
      <c r="G61" s="17">
        <v>0.0</v>
      </c>
      <c r="H61" s="17">
        <v>0.0</v>
      </c>
      <c r="I61" s="17">
        <v>6.0</v>
      </c>
      <c r="J61" s="13" t="s">
        <v>140</v>
      </c>
      <c r="K61" s="20" t="s">
        <v>18</v>
      </c>
      <c r="L61" s="13" t="s">
        <v>119</v>
      </c>
      <c r="M61" s="13" t="s">
        <v>65</v>
      </c>
    </row>
    <row r="62" ht="15.75" customHeight="1">
      <c r="A62" s="17">
        <v>58.0</v>
      </c>
      <c r="B62" s="13" t="s">
        <v>348</v>
      </c>
      <c r="C62" s="13" t="s">
        <v>249</v>
      </c>
      <c r="D62" s="17">
        <v>9.0</v>
      </c>
      <c r="E62" s="17">
        <v>0.0</v>
      </c>
      <c r="F62" s="18" t="str">
        <f t="shared" si="1"/>
        <v>0.0%</v>
      </c>
      <c r="G62" s="13"/>
      <c r="H62" s="13"/>
      <c r="I62" s="17">
        <v>9.0</v>
      </c>
      <c r="J62" s="13" t="s">
        <v>349</v>
      </c>
      <c r="K62" s="19" t="s">
        <v>17</v>
      </c>
      <c r="L62" s="13" t="s">
        <v>350</v>
      </c>
      <c r="M62" s="13" t="s">
        <v>252</v>
      </c>
    </row>
    <row r="63" ht="15.75" customHeight="1">
      <c r="A63" s="17">
        <v>59.0</v>
      </c>
      <c r="B63" s="13" t="s">
        <v>348</v>
      </c>
      <c r="C63" s="13" t="s">
        <v>351</v>
      </c>
      <c r="D63" s="17">
        <v>9.0</v>
      </c>
      <c r="E63" s="17">
        <v>0.0</v>
      </c>
      <c r="F63" s="18" t="str">
        <f t="shared" si="1"/>
        <v>0.0%</v>
      </c>
      <c r="G63" s="13"/>
      <c r="H63" s="13"/>
      <c r="I63" s="17">
        <v>9.0</v>
      </c>
      <c r="J63" s="13" t="s">
        <v>329</v>
      </c>
      <c r="K63" s="21" t="s">
        <v>16</v>
      </c>
      <c r="L63" s="13" t="s">
        <v>119</v>
      </c>
      <c r="M63" s="13" t="s">
        <v>252</v>
      </c>
    </row>
    <row r="64" ht="24.75" customHeight="1">
      <c r="A64" s="17">
        <v>60.0</v>
      </c>
      <c r="B64" s="13" t="s">
        <v>348</v>
      </c>
      <c r="C64" s="13" t="s">
        <v>352</v>
      </c>
      <c r="D64" s="17">
        <v>9.0</v>
      </c>
      <c r="E64" s="17">
        <v>0.0</v>
      </c>
      <c r="F64" s="18" t="str">
        <f t="shared" si="1"/>
        <v>0.0%</v>
      </c>
      <c r="G64" s="17">
        <v>0.0</v>
      </c>
      <c r="H64" s="17">
        <v>0.0</v>
      </c>
      <c r="I64" s="17">
        <v>8.0</v>
      </c>
      <c r="J64" s="13" t="s">
        <v>353</v>
      </c>
      <c r="K64" s="23" t="s">
        <v>14</v>
      </c>
      <c r="L64" s="13" t="s">
        <v>354</v>
      </c>
      <c r="M64" s="13" t="s">
        <v>252</v>
      </c>
    </row>
    <row r="65" ht="15.75" customHeight="1">
      <c r="A65" s="17">
        <v>61.0</v>
      </c>
      <c r="B65" s="13" t="s">
        <v>355</v>
      </c>
      <c r="C65" s="13" t="s">
        <v>192</v>
      </c>
      <c r="D65" s="17">
        <v>4.0</v>
      </c>
      <c r="E65" s="17">
        <v>0.0</v>
      </c>
      <c r="F65" s="18" t="str">
        <f t="shared" si="1"/>
        <v>0.0%</v>
      </c>
      <c r="G65" s="13"/>
      <c r="H65" s="13"/>
      <c r="I65" s="17">
        <v>4.0</v>
      </c>
      <c r="J65" s="13" t="s">
        <v>356</v>
      </c>
      <c r="K65" s="19" t="s">
        <v>17</v>
      </c>
      <c r="L65" s="13" t="s">
        <v>357</v>
      </c>
      <c r="M65" s="13" t="s">
        <v>358</v>
      </c>
    </row>
    <row r="66" ht="15.75" customHeight="1">
      <c r="A66" s="17">
        <v>62.0</v>
      </c>
      <c r="B66" s="13" t="s">
        <v>355</v>
      </c>
      <c r="C66" s="13" t="s">
        <v>359</v>
      </c>
      <c r="D66" s="17">
        <v>4.0</v>
      </c>
      <c r="E66" s="17">
        <v>0.0</v>
      </c>
      <c r="F66" s="18" t="str">
        <f t="shared" si="1"/>
        <v>0.0%</v>
      </c>
      <c r="G66" s="13"/>
      <c r="H66" s="13"/>
      <c r="I66" s="17">
        <v>4.0</v>
      </c>
      <c r="J66" s="13" t="s">
        <v>329</v>
      </c>
      <c r="K66" s="21" t="s">
        <v>16</v>
      </c>
      <c r="L66" s="13" t="s">
        <v>119</v>
      </c>
      <c r="M66" s="13" t="s">
        <v>358</v>
      </c>
    </row>
    <row r="67" ht="15.75" customHeight="1">
      <c r="A67" s="17">
        <v>63.0</v>
      </c>
      <c r="B67" s="13" t="s">
        <v>355</v>
      </c>
      <c r="C67" s="13" t="s">
        <v>360</v>
      </c>
      <c r="D67" s="17">
        <v>4.0</v>
      </c>
      <c r="E67" s="17">
        <v>0.0</v>
      </c>
      <c r="F67" s="18" t="str">
        <f t="shared" si="1"/>
        <v>0.0%</v>
      </c>
      <c r="G67" s="13"/>
      <c r="H67" s="13"/>
      <c r="I67" s="17">
        <v>4.0</v>
      </c>
      <c r="J67" s="13" t="s">
        <v>361</v>
      </c>
      <c r="K67" s="21" t="s">
        <v>16</v>
      </c>
      <c r="L67" s="13" t="s">
        <v>119</v>
      </c>
      <c r="M67" s="13" t="s">
        <v>358</v>
      </c>
    </row>
    <row r="68" ht="15.75" customHeight="1">
      <c r="A68" s="17">
        <v>64.0</v>
      </c>
      <c r="B68" s="13" t="s">
        <v>355</v>
      </c>
      <c r="C68" s="13" t="s">
        <v>362</v>
      </c>
      <c r="D68" s="17">
        <v>4.0</v>
      </c>
      <c r="E68" s="17">
        <v>0.0</v>
      </c>
      <c r="F68" s="18" t="str">
        <f t="shared" si="1"/>
        <v>0.0%</v>
      </c>
      <c r="G68" s="17">
        <v>0.0</v>
      </c>
      <c r="H68" s="17">
        <v>0.0</v>
      </c>
      <c r="I68" s="17">
        <v>4.0</v>
      </c>
      <c r="J68" s="13" t="s">
        <v>140</v>
      </c>
      <c r="K68" s="20" t="s">
        <v>18</v>
      </c>
      <c r="L68" s="13" t="s">
        <v>119</v>
      </c>
      <c r="M68" s="13" t="s">
        <v>65</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M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86.0"/>
    <col customWidth="1" min="4" max="4" width="50.0"/>
    <col customWidth="1" min="5" max="6" width="8.57"/>
  </cols>
  <sheetData>
    <row r="1" ht="17.25" customHeight="1">
      <c r="A1" s="1" t="s">
        <v>363</v>
      </c>
    </row>
    <row r="3">
      <c r="A3" s="3" t="s">
        <v>364</v>
      </c>
    </row>
    <row r="4">
      <c r="A4" s="5" t="s">
        <v>16</v>
      </c>
      <c r="B4" s="5" t="s">
        <v>365</v>
      </c>
      <c r="C4" s="5" t="s">
        <v>366</v>
      </c>
      <c r="D4" s="5" t="s">
        <v>367</v>
      </c>
    </row>
    <row r="5" ht="24.75" customHeight="1">
      <c r="A5" s="7" t="s">
        <v>368</v>
      </c>
      <c r="B5" s="13" t="s">
        <v>369</v>
      </c>
      <c r="C5" s="13" t="s">
        <v>370</v>
      </c>
      <c r="D5" s="13" t="s">
        <v>371</v>
      </c>
    </row>
    <row r="6">
      <c r="A6" s="7" t="s">
        <v>372</v>
      </c>
      <c r="B6" s="13" t="s">
        <v>373</v>
      </c>
      <c r="C6" s="13" t="s">
        <v>374</v>
      </c>
      <c r="D6" s="13" t="s">
        <v>375</v>
      </c>
    </row>
    <row r="7">
      <c r="A7" s="7" t="s">
        <v>376</v>
      </c>
      <c r="B7" s="13" t="s">
        <v>377</v>
      </c>
      <c r="C7" s="13" t="s">
        <v>378</v>
      </c>
      <c r="D7" s="13" t="s">
        <v>379</v>
      </c>
    </row>
    <row r="8" ht="24.75" customHeight="1">
      <c r="A8" s="7" t="s">
        <v>380</v>
      </c>
      <c r="B8" s="13" t="s">
        <v>381</v>
      </c>
      <c r="C8" s="13" t="s">
        <v>382</v>
      </c>
      <c r="D8" s="13" t="s">
        <v>383</v>
      </c>
    </row>
    <row r="9">
      <c r="A9" s="7" t="s">
        <v>384</v>
      </c>
      <c r="B9" s="13" t="s">
        <v>385</v>
      </c>
      <c r="C9" s="13" t="s">
        <v>386</v>
      </c>
      <c r="D9" s="13" t="s">
        <v>387</v>
      </c>
    </row>
    <row r="10">
      <c r="A10" t="s">
        <v>388</v>
      </c>
      <c r="B10" t="s">
        <v>389</v>
      </c>
      <c r="C10" t="s">
        <v>390</v>
      </c>
      <c r="D10" t="s">
        <v>391</v>
      </c>
    </row>
    <row r="12">
      <c r="A12" s="3" t="s">
        <v>392</v>
      </c>
    </row>
    <row r="13" ht="36.0" customHeight="1">
      <c r="A13" s="5" t="s">
        <v>181</v>
      </c>
      <c r="B13" s="5" t="s">
        <v>17</v>
      </c>
      <c r="C13" s="5" t="s">
        <v>393</v>
      </c>
      <c r="D13" s="5" t="s">
        <v>394</v>
      </c>
      <c r="E13" s="5" t="s">
        <v>395</v>
      </c>
      <c r="F13" s="5" t="s">
        <v>396</v>
      </c>
    </row>
    <row r="14" ht="139.5" customHeight="1">
      <c r="A14" s="7" t="s">
        <v>183</v>
      </c>
      <c r="B14" s="13" t="s">
        <v>184</v>
      </c>
      <c r="C14" s="17">
        <v>162.0</v>
      </c>
      <c r="D14" s="17">
        <v>162.0</v>
      </c>
      <c r="E14" s="17">
        <v>0.0</v>
      </c>
      <c r="F14" s="13" t="s">
        <v>397</v>
      </c>
    </row>
    <row r="15" ht="392.25" customHeight="1">
      <c r="A15" s="7" t="s">
        <v>235</v>
      </c>
      <c r="B15" s="13" t="s">
        <v>236</v>
      </c>
      <c r="C15" s="17">
        <v>24.0</v>
      </c>
      <c r="D15" s="17" t="s">
        <v>398</v>
      </c>
      <c r="E15" s="17">
        <v>5.0</v>
      </c>
      <c r="F15" s="13" t="s">
        <v>399</v>
      </c>
    </row>
    <row r="16" ht="139.5" customHeight="1">
      <c r="A16" s="7" t="s">
        <v>275</v>
      </c>
      <c r="B16" s="13" t="s">
        <v>276</v>
      </c>
      <c r="C16" s="17">
        <v>67.0</v>
      </c>
      <c r="D16" s="17">
        <v>67.0</v>
      </c>
      <c r="E16" s="17">
        <v>0.0</v>
      </c>
      <c r="F16" s="13" t="s">
        <v>397</v>
      </c>
    </row>
    <row r="18">
      <c r="A18" s="3" t="s">
        <v>400</v>
      </c>
    </row>
    <row r="19">
      <c r="A19" s="5" t="s">
        <v>401</v>
      </c>
      <c r="B19" s="5" t="s">
        <v>402</v>
      </c>
      <c r="C19" s="5" t="s">
        <v>403</v>
      </c>
      <c r="D19" s="5" t="s">
        <v>404</v>
      </c>
    </row>
    <row r="20" ht="24.75" customHeight="1">
      <c r="A20" s="7" t="s">
        <v>405</v>
      </c>
      <c r="B20" s="17">
        <v>1735.0</v>
      </c>
      <c r="C20" s="17">
        <v>23.0</v>
      </c>
      <c r="D20" s="13" t="s">
        <v>406</v>
      </c>
    </row>
    <row r="21" ht="24.75" customHeight="1">
      <c r="A21" s="7" t="s">
        <v>407</v>
      </c>
      <c r="B21" s="17">
        <v>249.0</v>
      </c>
      <c r="C21" s="17">
        <v>2.0</v>
      </c>
      <c r="D21" s="13" t="s">
        <v>408</v>
      </c>
    </row>
    <row r="22" ht="24.75" customHeight="1">
      <c r="A22" s="7" t="s">
        <v>409</v>
      </c>
      <c r="B22" s="17">
        <v>1.0</v>
      </c>
      <c r="C22" s="17">
        <v>169.0</v>
      </c>
      <c r="D22" s="13" t="s">
        <v>410</v>
      </c>
    </row>
    <row r="23" ht="24.75" customHeight="1">
      <c r="A23" s="7" t="s">
        <v>411</v>
      </c>
      <c r="B23" s="17">
        <v>8.0</v>
      </c>
      <c r="C23" s="17">
        <v>0.0</v>
      </c>
      <c r="D23" s="13" t="s">
        <v>412</v>
      </c>
    </row>
    <row r="24" ht="15.75" customHeight="1"/>
    <row r="25" ht="15.75" customHeight="1">
      <c r="A25" s="3" t="s">
        <v>413</v>
      </c>
    </row>
    <row r="26" ht="15.75" customHeight="1">
      <c r="A26" s="5" t="s">
        <v>14</v>
      </c>
      <c r="B26" s="5" t="s">
        <v>414</v>
      </c>
      <c r="C26" s="5" t="s">
        <v>415</v>
      </c>
    </row>
    <row r="27" ht="70.5" customHeight="1">
      <c r="A27" s="7" t="s">
        <v>416</v>
      </c>
      <c r="B27" s="13" t="s">
        <v>417</v>
      </c>
      <c r="C27" s="17">
        <v>1962.0</v>
      </c>
    </row>
    <row r="28" ht="70.5" customHeight="1">
      <c r="A28" s="7" t="s">
        <v>418</v>
      </c>
      <c r="B28" s="13" t="s">
        <v>419</v>
      </c>
      <c r="C28" s="17">
        <v>8926.0</v>
      </c>
    </row>
    <row r="29" ht="24.75" customHeight="1">
      <c r="A29" s="7" t="s">
        <v>420</v>
      </c>
      <c r="B29" s="13" t="s">
        <v>421</v>
      </c>
      <c r="C29" s="17">
        <v>46.0</v>
      </c>
    </row>
    <row r="30" ht="36.0" customHeight="1">
      <c r="A30" s="7" t="s">
        <v>422</v>
      </c>
      <c r="B30" s="13" t="s">
        <v>423</v>
      </c>
      <c r="C30" s="17">
        <v>45.0</v>
      </c>
    </row>
    <row r="31" ht="15.75" customHeight="1">
      <c r="A31" s="7" t="s">
        <v>424</v>
      </c>
      <c r="B31" s="13" t="s">
        <v>425</v>
      </c>
      <c r="C31" s="17">
        <v>38.0</v>
      </c>
    </row>
    <row r="32" ht="15.75" customHeight="1">
      <c r="A32" s="16" t="s">
        <v>426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2026-10-14T23:44:33Z</dcterms:created>
  <dc:creator>ola hashem</dc:creator>
  <dc:language>en-US</dc:language>
  <cp:lastModifiedBy>Muhammad Hashem</cp:lastModifiedBy>
  <dcterms:modified xsi:type="dcterms:W3CDTF">2026-10-16T20:48:53Z</dcterms:modified>
  <cp:revision>0</cp:revision>
</cp:coreProperties>
</file>