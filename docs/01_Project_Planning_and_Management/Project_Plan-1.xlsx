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91D5BC56-CCF3-4E44-A190-7AEC2085E9F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Gantt" sheetId="1" r:id="rId1"/>
    <sheet name="Milestones" sheetId="2" r:id="rId2"/>
    <sheet name="Deliverables" sheetId="3" r:id="rId3"/>
    <sheet name="Resource Allocation" sheetId="4" r:id="rId4"/>
    <sheet name="Python Statistical Analysis" sheetId="5" r:id="rId5"/>
  </sheets>
  <definedNames>
    <definedName name="_xlnm._FilterDatabase" localSheetId="2" hidden="1">Deliverables!$A$4:$E$40</definedName>
    <definedName name="_xlnm._FilterDatabase" localSheetId="0" hidden="1">Gantt!$A$4:$N$40</definedName>
    <definedName name="_xlnm._FilterDatabase" localSheetId="4" hidden="1">'Python Statistical Analysis'!$A$4:$H$22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4" l="1"/>
  <c r="C5" i="4"/>
  <c r="D5" i="4"/>
  <c r="E5" i="4"/>
  <c r="F5" i="4"/>
  <c r="G5" i="4"/>
  <c r="H5" i="4"/>
  <c r="I5" i="4"/>
  <c r="B6" i="4"/>
  <c r="C6" i="4"/>
  <c r="D6" i="4"/>
  <c r="E6" i="4"/>
  <c r="F6" i="4"/>
  <c r="G6" i="4"/>
  <c r="H6" i="4"/>
  <c r="I6" i="4"/>
  <c r="B7" i="4"/>
  <c r="C7" i="4"/>
  <c r="D7" i="4"/>
  <c r="E7" i="4"/>
  <c r="F7" i="4"/>
  <c r="G7" i="4"/>
  <c r="H7" i="4"/>
  <c r="I7" i="4"/>
  <c r="B8" i="4"/>
  <c r="C8" i="4"/>
  <c r="D8" i="4"/>
  <c r="E8" i="4"/>
  <c r="F8" i="4"/>
  <c r="G8" i="4"/>
  <c r="H8" i="4"/>
  <c r="I8" i="4"/>
  <c r="I9" i="4"/>
  <c r="H9" i="4"/>
  <c r="G9" i="4"/>
  <c r="F9" i="4"/>
  <c r="E9" i="4"/>
  <c r="D9" i="4"/>
  <c r="C9" i="4"/>
  <c r="B9" i="4"/>
</calcChain>
</file>

<file path=xl/sharedStrings.xml><?xml version="1.0" encoding="utf-8"?>
<sst xmlns="http://schemas.openxmlformats.org/spreadsheetml/2006/main" count="430" uniqueCount="297">
  <si>
    <t>Project Plan - Gantt Chart</t>
  </si>
  <si>
    <t>ID</t>
  </si>
  <si>
    <t>Week</t>
  </si>
  <si>
    <t>Task</t>
  </si>
  <si>
    <t>Role</t>
  </si>
  <si>
    <t>Start</t>
  </si>
  <si>
    <t>End</t>
  </si>
  <si>
    <t>Deliverable</t>
  </si>
  <si>
    <t>W1</t>
  </si>
  <si>
    <t>W2</t>
  </si>
  <si>
    <t>W3</t>
  </si>
  <si>
    <t>W4</t>
  </si>
  <si>
    <t>W5</t>
  </si>
  <si>
    <t>W6</t>
  </si>
  <si>
    <t>W7</t>
  </si>
  <si>
    <t>KPI Specification and KPIs Document</t>
  </si>
  <si>
    <t>Hossam - Technical Analytics Lead</t>
  </si>
  <si>
    <t>KPI Specification + KPIs Document</t>
  </si>
  <si>
    <t>GitHub Repository and Branching Strategy</t>
  </si>
  <si>
    <t>Repository + Branching Strategy</t>
  </si>
  <si>
    <t>Raw and Working Data Layers with Data Profiling</t>
  </si>
  <si>
    <t>Yahia - Data Preparation &amp; Testing Lead</t>
  </si>
  <si>
    <t>Raw/Working Data Layers + Profiling Report</t>
  </si>
  <si>
    <t>Project Plan and Task Assignment</t>
  </si>
  <si>
    <t>Project Plan + Task Assignment &amp; Roles</t>
  </si>
  <si>
    <t>Project Proposal</t>
  </si>
  <si>
    <t>Stakeholder Analysis and User Stories &amp; Use Cases</t>
  </si>
  <si>
    <t>Ola - Data Quality &amp; Review Lead</t>
  </si>
  <si>
    <t>Stakeholder Analysis + User Stories &amp; Use Cases</t>
  </si>
  <si>
    <t>Literature Review File (Lecturer Input)</t>
  </si>
  <si>
    <t>Literature Review</t>
  </si>
  <si>
    <t>Data Dictionary</t>
  </si>
  <si>
    <t>Aya - Data Dictionary &amp; Requirements Lead</t>
  </si>
  <si>
    <t>Validated Data Dictionary</t>
  </si>
  <si>
    <t>Functional &amp; Non-functional Requirements</t>
  </si>
  <si>
    <t>Risk Assessment &amp; Mitigation Plan</t>
  </si>
  <si>
    <t>SQL Staging, Duplicate and Key Integrity Checks</t>
  </si>
  <si>
    <t>SQL Staging Layer + Integrity Report</t>
  </si>
  <si>
    <t>Shipments Table Cleaning</t>
  </si>
  <si>
    <t>Clean Shipments Table + Cleaning Log</t>
  </si>
  <si>
    <t>Hospital Tables Cleaning</t>
  </si>
  <si>
    <t>Clean Hospital Tables + Cleaning Log</t>
  </si>
  <si>
    <t>Data Quality Rules and Mapping Sign-off</t>
  </si>
  <si>
    <t>Data Quality Rules + Categorical Mapping Sign-off</t>
  </si>
  <si>
    <t>Before/After Reconciliation</t>
  </si>
  <si>
    <t>Before/After Reconciliation Report</t>
  </si>
  <si>
    <t>Python Notebook: KPI Recalculation, Basic Charts and Statistical Analysis</t>
  </si>
  <si>
    <t>Python Notebook (pandas, matplotlib, SciPy, statsmodels) + Statistical Results Table</t>
  </si>
  <si>
    <t>Derived Fields and Cleaned Dataset</t>
  </si>
  <si>
    <t>Derived Fields + Cleaned Dataset</t>
  </si>
  <si>
    <t>Question-to-KPI-to-Chart Map</t>
  </si>
  <si>
    <t>Analytical Question Map</t>
  </si>
  <si>
    <t>Wireframes &amp; UI/UX Guidelines</t>
  </si>
  <si>
    <t>Dashboard UX Specification (Wireframes + Guidelines)</t>
  </si>
  <si>
    <t>Software Architecture, DFD and Technology Stack</t>
  </si>
  <si>
    <t>Software Architecture + DFD + Technology Stack</t>
  </si>
  <si>
    <t>Power BI Data Models (Shipments and Hospitals, Kept Separate) and Core Measures</t>
  </si>
  <si>
    <t>Validated Data Models + Core Measures</t>
  </si>
  <si>
    <t>Problem Statement and Use Case Diagram</t>
  </si>
  <si>
    <t>Problem Statement + Use Case Diagram</t>
  </si>
  <si>
    <t>ER Diagram and Logical &amp; Physical Schema</t>
  </si>
  <si>
    <t>ER Diagram + Logical &amp; Physical Schema</t>
  </si>
  <si>
    <t>Dashboard Page 1: Executive Overview</t>
  </si>
  <si>
    <t>Dashboard Page 1</t>
  </si>
  <si>
    <t>Dashboard Page 2: Delivery &amp; Cycle Time</t>
  </si>
  <si>
    <t>Dashboard Page 2</t>
  </si>
  <si>
    <t>Dashboard Page 3: Suppliers &amp; Cost</t>
  </si>
  <si>
    <t>Dashboard Page 3</t>
  </si>
  <si>
    <t>Dashboard Page 4: Purchase Orders &amp; Inventory</t>
  </si>
  <si>
    <t>Dashboard Page 4</t>
  </si>
  <si>
    <t>Dashboard Page 5: Case Impact &amp; Decision Quality</t>
  </si>
  <si>
    <t>Dashboard Page 5</t>
  </si>
  <si>
    <t>Master Reconciliation (SQL, Python, Power BI)</t>
  </si>
  <si>
    <t>Master Reconciliation Report</t>
  </si>
  <si>
    <t>Test Plan, Functional Testing, UAT and Bug Log</t>
  </si>
  <si>
    <t>Test Plan + Dashboard Functional Test + UAT &amp; Bug Log</t>
  </si>
  <si>
    <t>Findings and Recommendations</t>
  </si>
  <si>
    <t>Findings &amp; Recommendations</t>
  </si>
  <si>
    <t>README and Execution Guide</t>
  </si>
  <si>
    <t>README + Execution Guide</t>
  </si>
  <si>
    <t>Technical Sign-off and Final Refresh QA</t>
  </si>
  <si>
    <t>Technical Sign-off Package + Final Refresh QA</t>
  </si>
  <si>
    <t>Project Infographic (Single 16:9 Image)</t>
  </si>
  <si>
    <t>Project Infographic</t>
  </si>
  <si>
    <t>Project Presentation (PPT/PDF)</t>
  </si>
  <si>
    <t>Project Presentation</t>
  </si>
  <si>
    <t>User Manual and Final Documentation</t>
  </si>
  <si>
    <t>User Manual + Final Documentation</t>
  </si>
  <si>
    <t>Project Plan - Milestones</t>
  </si>
  <si>
    <t>Milestone</t>
  </si>
  <si>
    <t>Date</t>
  </si>
  <si>
    <t>Focus</t>
  </si>
  <si>
    <t>Exit Gate</t>
  </si>
  <si>
    <t>Week 1 end</t>
  </si>
  <si>
    <t>Scope, Definitions, Raw/Working Layers and Planning Documents</t>
  </si>
  <si>
    <t>Planning, literature review and requirements documents are ready for submission on 16 October 2026.</t>
  </si>
  <si>
    <t>Week 2 end</t>
  </si>
  <si>
    <t>Data Cleaning, Integrity Checks and Quality Rules</t>
  </si>
  <si>
    <t>Cleaning logs and documented mappings are delivered; before/after differences are explained.</t>
  </si>
  <si>
    <t>Week 3 end</t>
  </si>
  <si>
    <t>Derived Fields, Cleaned Dataset, Python Notebook (KPI Recalculation, Basic Charts and Statistical Analysis) and Dashboard Design</t>
  </si>
  <si>
    <t>Derived fields are validated and the analytical question map is agreed.</t>
  </si>
  <si>
    <t>Week 4 end</t>
  </si>
  <si>
    <t>System Analysis &amp; Design Pack and Power BI Data Models</t>
  </si>
  <si>
    <t>Design documents are ready for submission on 6 November 2026; relationships, denominators and filters are tested.</t>
  </si>
  <si>
    <t>Week 5 end</t>
  </si>
  <si>
    <t>Dashboard Build: Five Pages</t>
  </si>
  <si>
    <t>Every visual is linked to a specific question, column and KPI.</t>
  </si>
  <si>
    <t>Week 6 end</t>
  </si>
  <si>
    <t>Reconciliation, Testing, UAT and Findings</t>
  </si>
  <si>
    <t>No critical error remains open.</t>
  </si>
  <si>
    <t>Week 7 end</t>
  </si>
  <si>
    <t>Sign-off, Infographic, Presentation and Final Documentation</t>
  </si>
  <si>
    <t>Final internal delivery.</t>
  </si>
  <si>
    <t>DEPI Submission</t>
  </si>
  <si>
    <t>Item</t>
  </si>
  <si>
    <t>DEPI submission</t>
  </si>
  <si>
    <t>Project Planning &amp; Management</t>
  </si>
  <si>
    <t>Documents uploaded to GitHub</t>
  </si>
  <si>
    <t>Requirements Gathering</t>
  </si>
  <si>
    <t>System Analysis &amp; Design</t>
  </si>
  <si>
    <t>Implementation (Source Code &amp; Execution)</t>
  </si>
  <si>
    <t>Final Presentation, Testing &amp; Reports</t>
  </si>
  <si>
    <t>Internal final delivery</t>
  </si>
  <si>
    <t>Final internal delivery (Week 7 end)</t>
  </si>
  <si>
    <t>Final internal delivery</t>
  </si>
  <si>
    <t>Project Plan - Deliverables</t>
  </si>
  <si>
    <t>Task ID</t>
  </si>
  <si>
    <t>Due Date</t>
  </si>
  <si>
    <t>Project Plan - Resource Allocation</t>
  </si>
  <si>
    <t>Week 1</t>
  </si>
  <si>
    <t>Week 2</t>
  </si>
  <si>
    <t>Week 3</t>
  </si>
  <si>
    <t>Week 4</t>
  </si>
  <si>
    <t>Week 5</t>
  </si>
  <si>
    <t>Week 6</t>
  </si>
  <si>
    <t>Week 7</t>
  </si>
  <si>
    <t>Total Tasks</t>
  </si>
  <si>
    <t>Total</t>
  </si>
  <si>
    <t>Responsibilities</t>
  </si>
  <si>
    <t>Project proposal; project plan and task assignment; KPI specification and KPIs document; GitHub repository; SQL staging and integrity checks; Python notebook (KPI recalculation, basic charts and statistical analysis); software architecture, DFD and technology stack; dashboard Pages 2 (Delivery &amp; Cycle Time) and 5 (Case Impact &amp; Decision Quality); master reconciliation; technical sign-off and final refresh QA.</t>
  </si>
  <si>
    <t>Raw and Working data layers with profiling; cleaning of the shipments and hospital tables; derived fields and cleaned dataset; Power BI data models and core measures; dashboard Page 4 (Purchase Orders &amp; Inventory); test plan, UAT and bug log; project infographic.</t>
  </si>
  <si>
    <t>Stakeholder analysis, user stories and use cases; literature review file; data quality rules and mapping sign-off; analytical question map; problem statement and use case diagram; dashboard Page 1 (Executive Overview); findings and recommendations; project presentation.</t>
  </si>
  <si>
    <t>Data dictionary; functional and non-functional requirements; risk assessment; before/after reconciliation; wireframes and UI/UX guidelines; ER diagram and logical &amp; physical schema; dashboard Page 3 (Suppliers &amp; Cost); README and execution guide; user manual and final documentation.</t>
  </si>
  <si>
    <t>Project Plan - Python Statistical Analysis (Task 16)</t>
  </si>
  <si>
    <t>Part of Task 16 (Hossam - Technical Analytics Lead), Week 3 (25-29 October 2026). Libraries: pandas and NumPy (data handling), SciPy (scipy.stats: statistical tests), statsmodels (confidence intervals, multiple-comparison correction, stratified tables), matplotlib (charts). Run the steps in order S0 to S17 in one notebook.</t>
  </si>
  <si>
    <t>Step</t>
  </si>
  <si>
    <t>Question(s)</t>
  </si>
  <si>
    <t>Analysis</t>
  </si>
  <si>
    <t>Input (table: columns)</t>
  </si>
  <si>
    <t>Valid rows and expected sample size</t>
  </si>
  <si>
    <t>Method and library function</t>
  </si>
  <si>
    <t>Output</t>
  </si>
  <si>
    <t>Limit of interpretation</t>
  </si>
  <si>
    <t>S0</t>
  </si>
  <si>
    <t>All</t>
  </si>
  <si>
    <t>Setup and guard rules</t>
  </si>
  <si>
    <t>Cleaned shipments table (sheet in) and cleaned hospital tables (inventory_daily, purchase_orders, patient_cases) with their cleaning flags; items, suppliers, hospitals.</t>
  </si>
  <si>
    <t>Valid-row definitions exactly as in the approved Data Quality Rules (Scope Rules, section D): PO Delay and PO On-Time 1,962 rows; Stockout Rate 8,926 rows; Lead Time 45 rows; Freight per Kg 38 rows; Late Rate 46 rows. Each test drops only rows that are NULL in its own columns and records the excluded count.</t>
  </si>
  <si>
    <t>pandas (read, merge, groupby, dropna per test); NumPy; scipy.stats.shapiro (n up to 5,000) and scipy.stats.skew for the distribution check; statsmodels.stats.multitest.multipletests(method="holm") for every family of comparisons. Significance level 0.05 (documented assumption). Minimum group size: 5 shipments per country and 3 per vendor (project rules); MIN_N = 30 rows or cases for hospital-layer groups (documented assumption, one constant confirmed in the Question Map, Task 18).</t>
  </si>
  <si>
    <t>Results table stats_results with columns: step, question, n_valid, n_excluded, method, statistic, p_value, p_holm, effect_size, ci_low, ci_high.</t>
  </si>
  <si>
    <t>A blank stays NULL and is never converted to zero; no value is deleted because it is large; every p-value is shown with n, an effect size and a 95% confidence interval.</t>
  </si>
  <si>
    <t>S1</t>
  </si>
  <si>
    <t>Q04, Q05, Q07, Q11</t>
  </si>
  <si>
    <t>Descriptive statistics of the shipment KPIs</t>
  </si>
  <si>
    <t>in: scheduled delivery date, delivered to client date, po sent to vendor date, delivery recorded date, expiry_date, freight cost (usd), weight (kilograms).</t>
  </si>
  <si>
    <t>Delay Days on 46 rows (0 late, 44 on schedule, 2 early); Lead Time Days on 45 rows; Shelf Life at Delivery on rows with a valid expiry_date (43 valid dates in the source); Freight per Kg on 38 rows.</t>
  </si>
  <si>
    <t>pandas describe and quantile (median, IQR, P90); scipy.stats.skew; statsmodels.stats.proportion.proportion_confint(method="wilson") for the schedule-status shares.</t>
  </si>
  <si>
    <t>Summary table per KPI with n; histograms with the IQR-rule outlier check (matplotlib).</t>
  </si>
  <si>
    <t>No shipment is late, so no inferential test is run on Delay Days; median 0 means no late shipment exists in the sample, not "no delay".</t>
  </si>
  <si>
    <t>S2</t>
  </si>
  <si>
    <t>Q05</t>
  </si>
  <si>
    <t>Lead time by country</t>
  </si>
  <si>
    <t>in: country (standardized to country_clean), Lead Time Days.</t>
  </si>
  <si>
    <t>Countries with at least 5 valid lead times: Nigeria 17, Haiti 7, Cote d'Ivoire 6, Congo DRC 6, Guyana 5; Afghanistan (3) and Ethiopia (1) are grouped as Other (calculated from the source).</t>
  </si>
  <si>
    <t>scipy.stats.kruskal across the five countries; effect size epsilon-squared = (H - k + 1) / (n - k); pairwise scipy.stats.mannwhitneyu with Holm correction.</t>
  </si>
  <si>
    <t>Median [IQR] and n per country; test table; box plot.</t>
  </si>
  <si>
    <t>Groups are small (5 to 17), so the result is exploratory; differences between countries are not explained by this test.</t>
  </si>
  <si>
    <t>S3</t>
  </si>
  <si>
    <t>Q06</t>
  </si>
  <si>
    <t>Customs clearance days against lead time</t>
  </si>
  <si>
    <t>in: customs_clearance_days (after standardization: "3 days" becomes 3 and "~6" becomes 6 with an approximate flag), Lead Time Days.</t>
  </si>
  <si>
    <t>Rows where both values are valid: 44 (45 valid lead times and 45 valid customs values in the source).</t>
  </si>
  <si>
    <t>scipy.stats.spearmanr; 95% interval with scipy.stats.bootstrap (paired resampling, 10,000 resamples, seed 42); sensitivity run without the approximate-flag rows; median of customs_clearance_days / Lead Time Days as the share of cycle time spent in customs.</t>
  </si>
  <si>
    <t>Spearman rho, p-value, interval, sensitivity result, median customs share; scatter plot.</t>
  </si>
  <si>
    <t>Correlation is not cause; the relation is stated with its sample size.</t>
  </si>
  <si>
    <t>S4</t>
  </si>
  <si>
    <t>Q07</t>
  </si>
  <si>
    <t>Shelf life at delivery and receiving inspection</t>
  </si>
  <si>
    <t>in: expiry_date, delivered to client date, receiving_inspection_result (raw variants mapped first).</t>
  </si>
  <si>
    <t>Shelf Life on rows with a valid expiry date (43 in the source); inspection acceptance on rows with a non-blank result, blanks excluded and counted.</t>
  </si>
  <si>
    <t>pandas; statsmodels.stats.proportion.proportion_confint(method="wilson") for the share expired on arrival and for the Inspection Acceptance Rate; scipy.stats.skew.</t>
  </si>
  <si>
    <t>Shelf-life histogram, inspection donut data, table of shipments expired on arrival.</t>
  </si>
  <si>
    <t>Negative shelf life is listed for review, not deleted; shares are shown with n.</t>
  </si>
  <si>
    <t>S5</t>
  </si>
  <si>
    <t>Q08</t>
  </si>
  <si>
    <t>Vendor concentration</t>
  </si>
  <si>
    <t>in: vendor, line item value.</t>
  </si>
  <si>
    <t>All 46 rows (line item value is never missing); vendors with fewer than 3 shipments are grouped as Other.</t>
  </si>
  <si>
    <t>pandas groupby and cumulative share (Pareto); NumPy for the Herfindahl-Hirschman Index = sum of squared vendor value shares.</t>
  </si>
  <si>
    <t>Pareto table, HHI value.</t>
  </si>
  <si>
    <t>Descriptive concentration measure only; no vendor is ranked below the minimum size.</t>
  </si>
  <si>
    <t>S6</t>
  </si>
  <si>
    <t>Q10, Q11</t>
  </si>
  <si>
    <t>Freight against weight and cost efficiency</t>
  </si>
  <si>
    <t>in: freight cost (usd), weight (kilograms), line item value, line item insurance (usd).</t>
  </si>
  <si>
    <t>Freight per Kg and the relation between freight and weight on the 38 rows where both are numeric; Freight/Value = SUM(freight) / SUM(value) on the rows where freight is numeric.</t>
  </si>
  <si>
    <t>scipy.stats.spearmanr (freight against weight); scipy.stats.linregress on log(freight) against log(weight) for slope, R-squared and slope standard error; outliers by the IQR rule (1.5 x IQR, pandas quantile) on Freight per Kg.</t>
  </si>
  <si>
    <t>rho, slope with 95% interval, R-squared, outlier table (id, value, reason); scatter plot.</t>
  </si>
  <si>
    <t>Outliers are flagged and explained, never deleted; the log transform is used only for the model, KPI figures stay on raw values; no causal claim.</t>
  </si>
  <si>
    <t>S7</t>
  </si>
  <si>
    <t>Q12</t>
  </si>
  <si>
    <t>Supplier on-time rate against the historical rate</t>
  </si>
  <si>
    <t>purchase_orders: supplier_id, expected_delivery_date, received_date, po_status; suppliers: historical_on_time_rate.</t>
  </si>
  <si>
    <t>1,962 valid received POs; S09 (regional distribution centre) is excluded from supplier comparisons, leaving 1,961 rows over S01 to S08 (82 to 563 per supplier, calculated from the source).</t>
  </si>
  <si>
    <t>scipy.stats.binomtest(k on time, n, p = historical_on_time_rate, two-sided) per supplier; Wilson interval with statsmodels proportion_confint; Holm correction across the 8 suppliers; PO Fill Ratio = SUM(qty_received) / SUM(qty_ordered) on rows with a numeric qty_received.</t>
  </si>
  <si>
    <t>Actual against historical rate per supplier with interval, p_holm and n; fill ratio table.</t>
  </si>
  <si>
    <t>The historical rate is a benchmark that may cover another period or measurement; a significant gap is a difference, not a cause.</t>
  </si>
  <si>
    <t>S8</t>
  </si>
  <si>
    <t>Q13</t>
  </si>
  <si>
    <t>PO delay distribution and supplier differences</t>
  </si>
  <si>
    <t>purchase_orders: PO Delay Days = received_date - expected_delivery_date; supplier_id; po_status.</t>
  </si>
  <si>
    <t>Same 1,962 valid POs (1,961 for supplier comparisons). Rejected orders are excluded from the on-time denominator and reported separately.</t>
  </si>
  <si>
    <t>pandas describe and quantile (median, IQR, P90); scipy.stats.skew; scipy.stats.kruskal across S01 to S08 with epsilon-squared; pairwise scipy.stats.mannwhitneyu with Holm correction.</t>
  </si>
  <si>
    <t>Delay histogram, median [IQR] per supplier, status counts (Received, Partially Received, In Transit, Rejected).</t>
  </si>
  <si>
    <t>Delay is skewed, so rank-based tests are used; the status mix is reported as counts, not as a test.</t>
  </si>
  <si>
    <t>S9</t>
  </si>
  <si>
    <t>Q14</t>
  </si>
  <si>
    <t>Actual lead time against the item baseline</t>
  </si>
  <si>
    <t>purchase_orders: order_date, received_date, item_id; items: baseline_lead_time_days, category.</t>
  </si>
  <si>
    <t>Received POs with valid order and received dates, item in I001-I030, order_date inside the period (out-of-period rows flagged); categories with at least MIN_N valid POs.</t>
  </si>
  <si>
    <t>scipy.stats.wilcoxon on the paired difference (actual lead time - baseline) per category; Holm correction across categories; effect size = rank-biserial correlation from the signed ranks.</t>
  </si>
  <si>
    <t>Median difference in days per category with n and p_holm; bar chart data.</t>
  </si>
  <si>
    <t>The baseline is a reference value from the items table; the result shows the deviation, not its reason.</t>
  </si>
  <si>
    <t>S10</t>
  </si>
  <si>
    <t>Q15</t>
  </si>
  <si>
    <t>Stockout concentration and weekly movement</t>
  </si>
  <si>
    <t>inventory_daily: date, hospital_id, item_id, unmet_demand_qty; items: criticality.</t>
  </si>
  <si>
    <t>8,926 valid hospital-item-days; stockout = unmet_demand_qty &gt; 0 (the source stockout_flag is not used); blank unmet_demand_qty is excluded and counted (the blank share is concentrated in hospital H-C).</t>
  </si>
  <si>
    <t>scipy.stats.chi2_contingency for hospital x stockout and criticality x stockout with Cramer's V; Wilson intervals per hospital and per criticality; scipy.stats.kendalltau between week number and weekly Stockout Rate; pandas.crosstab to compare the recomputed flag with the source flag.</t>
  </si>
  <si>
    <t>Stockout Rate with n and interval per hospital and criticality; trend statistic; flag comparison table.</t>
  </si>
  <si>
    <t>The weekly trend rests on about 13 weekly points (1 January to 31 March 2026), so it is exploratory; no causal claim.</t>
  </si>
  <si>
    <t>S11</t>
  </si>
  <si>
    <t>Q16</t>
  </si>
  <si>
    <t>Estimated value of unmet demand and wastage</t>
  </si>
  <si>
    <t>inventory_daily: unmet_demand_qty, expired_writeoff_qty, damaged_lost_qty; items: unit_cost_egp, category, cold_chain.</t>
  </si>
  <si>
    <t>Rows with numeric quantities and a valid item cost; Unmet Demand EGP uses items.unit_cost_egp, not the purchase_orders cost column.</t>
  </si>
  <si>
    <t>pandas groupby and cumulative share (top 10 items); no inferential test, because only 3 of the 30 items are cold-chain items.</t>
  </si>
  <si>
    <t>Top-10 unmet-demand table, wastage value by category and cold-chain flag.</t>
  </si>
  <si>
    <t>Values are estimates, not confirmed financial losses.</t>
  </si>
  <si>
    <t>S12</t>
  </si>
  <si>
    <t>Q17</t>
  </si>
  <si>
    <t>Treatment delay hours by treatment status</t>
  </si>
  <si>
    <t>patient_cases: treatment_status, treatment_delay_hours.</t>
  </si>
  <si>
    <t>Rows with a numeric treatment_delay_hours (5,503 numeric values in the raw table, before duplicate removal; the exact n after cleaning is read from the notebook); "Not given" has no numeric delay values; 14 values equal 999 and 14 are negative (calculated from the source) and are flagged.</t>
  </si>
  <si>
    <t>scipy.stats.kruskal across statuses with at least MIN_N valid values; pairwise scipy.stats.mannwhitneyu of each status against "Given on time" with Holm correction; median [IQR] and n per status; IQR-rule flag.</t>
  </si>
  <si>
    <t>Median [IQR] and n per status, test table, box-plot data.</t>
  </si>
  <si>
    <t>Extreme and negative values are flagged and kept; rank-based tests prevent them from driving the result; delay hours describe timing and do not prove a shortage caused the delay.</t>
  </si>
  <si>
    <t>S13</t>
  </si>
  <si>
    <t>Q18</t>
  </si>
  <si>
    <t>Outcomes by treatment status within severity</t>
  </si>
  <si>
    <t>patient_cases: outcome, treatment_status, severity, icu_admission, complication, length_of_stay_days.</t>
  </si>
  <si>
    <t>Cases with outcome Died or Recovered (Shortage Mortality = Died / (Died + Recovered)) after removing the 67 fully identical case_id copies; severity after the approved mapping (1/2/3 to Low/Moderate/High), blanks stay NULL; shortage-type = exact match of "Delayed - stock unavailable", "Substitute used", "Not given"; reference group = "Given on time"; "Not given - transferred" is never shortage-type.</t>
  </si>
  <si>
    <t>scipy.stats.fisher_exact per severity stratum; statsmodels.stats.contingency_tables.StratifiedTable (pooled Mantel-Haenszel odds ratio with 95% interval, Breslow-Day test of equal odds); Wilson intervals for death, ICU and complication shares; scipy.stats.mannwhitneyu for length_of_stay_days.</t>
  </si>
  <si>
    <t>Death share by severity and treatment status with n; pooled odds ratio adjusted for severity; length-of-stay comparison.</t>
  </si>
  <si>
    <t>Descriptive association only; the hospital layer is synthetic; results are always read within severity because severity is a confounder; no causal or medical effect is claimed.</t>
  </si>
  <si>
    <t>S14</t>
  </si>
  <si>
    <t>Q19</t>
  </si>
  <si>
    <t>Item stockout rate against delayed-stock cases</t>
  </si>
  <si>
    <t>patient_cases: key_drug_item_id, treatment_status; inventory_daily: item Stockout Rate from S10.</t>
  </si>
  <si>
    <t>Valid items I001-I030 with at least MIN_N cases (19 valid items in the cases table; the invalid code I000 is excluded).</t>
  </si>
  <si>
    <t>scipy.stats.spearmanr between the item Stockout Rate and the item share of "Delayed - stock unavailable"; 95% interval with scipy.stats.bootstrap; Wilson interval per item share.</t>
  </si>
  <si>
    <t>rho, p-value, interval; scatter data per item.</t>
  </si>
  <si>
    <t>Item-level association with at most 19 points; the hospital-item-day join is not used because repeated inventory keys remain after identical copies are removed; no causal claim.</t>
  </si>
  <si>
    <t>S15</t>
  </si>
  <si>
    <t>Q20</t>
  </si>
  <si>
    <t>Shortage-type share by diagnosis and hospital</t>
  </si>
  <si>
    <t>patient_cases: diagnosis (after the documented mapping to 13 groups, Task 14), hospital_id, treatment_status.</t>
  </si>
  <si>
    <t>Cases after duplicate removal; hospitals H-A to H-D (the orphan H-E excluded and counted); groups with at least MIN_N cases.</t>
  </si>
  <si>
    <t>scipy.stats.chi2_contingency for diagnosis x shortage-type and hospital x shortage-type with Cramer's V; adjusted standardized residuals from the expected counts; Wilson intervals; Holm correction on residual p-values.</t>
  </si>
  <si>
    <t>Shortage-type share with n and interval per diagnosis and hospital; residual table naming groups above or below expectation.</t>
  </si>
  <si>
    <t>Diagnoses are never merged by visual similarity; shares are descriptive; no causal claim.</t>
  </si>
  <si>
    <t>S16</t>
  </si>
  <si>
    <t>Q21, Q03</t>
  </si>
  <si>
    <t>Stability of results after cleaning</t>
  </si>
  <si>
    <t>Key results of S2 to S15.</t>
  </si>
  <si>
    <t>Each key test is run twice: on all valid rows and after excluding the flagged rows (Out_of_Period, Invalid_Item, Orphan, Status_Date_Conflict, outlier-flagged values).</t>
  </si>
  <si>
    <t>Same functions as the original steps; absolute and percentage change of each estimate; change of direction or of significance (p_holm against 0.05).</t>
  </si>
  <si>
    <t>Stability table linked to the Decision summary table (Q21).</t>
  </si>
  <si>
    <t>Any change in direction or significance is explained in the Findings and Recommendations (Task 31), not hidden.</t>
  </si>
  <si>
    <t>S17</t>
  </si>
  <si>
    <t>Reporting and reproducibility</t>
  </si>
  <si>
    <t>All results of S0 to S16.</t>
  </si>
  <si>
    <t>Notebook runs from top to bottom (Restart and Run All) with no manual step.</t>
  </si>
  <si>
    <t>pandas.DataFrame.to_csv for stats_results.csv; matplotlib savefig for charts; numpy.random.default_rng(42) for every resampling; pip freeze to requirements.txt.</t>
  </si>
  <si>
    <t>stats_results.csv, chart files and requirements.txt in the python folder of the GitHub repository.</t>
  </si>
  <si>
    <t>Recalculated KPIs are compared with SQL and Power BI in the Master Reconciliation (Task 29); statistical results feed the Findings and Recommendations (Task 31).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</si>
</sst>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N40"/>
  <sheetViews>
    <sheetView tabSelected="1" zoomScale="90" zoomScaleNormal="90" workbookViewId="0">
      <pane xSplit="3" ySplit="4" topLeftCell="D5" activePane="bottomRight" state="frozen"/>
      <selection pane="bottomLeft" activeCell="A5" sqref="A5"/>
      <selection pane="topRight" activeCell="D1" sqref="D1"/>
      <selection pane="bottomRight" activeCell="C1" sqref="C1"/>
    </sheetView>
  </sheetViews>
  <sheetFormatPr defaultColWidth="8.7421875" defaultRowHeight="15" x14ac:dyDescent="0.2"/>
  <cols>
    <col min="1" max="1" width="6.05078125" style="4" customWidth="1"/>
    <col min="2" max="2" width="6.9921875" style="4" customWidth="1"/>
    <col min="3" max="3" width="52.05859375" style="4" customWidth="1"/>
    <col min="4" max="4" width="46.00390625" style="4" customWidth="1"/>
    <col min="5" max="6" width="13.046875" style="4" customWidth="1"/>
    <col min="7" max="7" width="48.0234375" style="4" customWidth="1"/>
    <col min="8" max="14" width="6.05078125" style="4" customWidth="1"/>
  </cols>
  <sheetData>
    <row r="1" spans="1:14" ht="17.25" customHeight="1" x14ac:dyDescent="0.2">
      <c r="A1" s="5" t="s">
        <v>0</v>
      </c>
    </row>
    <row r="4" spans="1:14" ht="15" customHeight="1" x14ac:dyDescent="0.2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</row>
    <row r="5" spans="1:14" ht="15" customHeight="1" x14ac:dyDescent="0.2">
      <c r="A5" s="7">
        <v>1</v>
      </c>
      <c r="B5" s="7">
        <v>1</v>
      </c>
      <c r="C5" s="8" t="s">
        <v>15</v>
      </c>
      <c r="D5" s="9" t="s">
        <v>16</v>
      </c>
      <c r="E5" s="10">
        <v>46306</v>
      </c>
      <c r="F5" s="10">
        <v>46310</v>
      </c>
      <c r="G5" s="8" t="s">
        <v>17</v>
      </c>
      <c r="H5" s="11"/>
      <c r="I5" s="8"/>
      <c r="J5" s="8"/>
      <c r="K5" s="8"/>
      <c r="L5" s="8"/>
      <c r="M5" s="8"/>
      <c r="N5" s="8"/>
    </row>
    <row r="6" spans="1:14" ht="15" customHeight="1" x14ac:dyDescent="0.2">
      <c r="A6" s="7">
        <v>2</v>
      </c>
      <c r="B6" s="7">
        <v>1</v>
      </c>
      <c r="C6" s="8" t="s">
        <v>18</v>
      </c>
      <c r="D6" s="9" t="s">
        <v>16</v>
      </c>
      <c r="E6" s="10">
        <v>46306</v>
      </c>
      <c r="F6" s="10">
        <v>46310</v>
      </c>
      <c r="G6" s="8" t="s">
        <v>19</v>
      </c>
      <c r="H6" s="11"/>
      <c r="I6" s="8"/>
      <c r="J6" s="8"/>
      <c r="K6" s="8"/>
      <c r="L6" s="8"/>
      <c r="M6" s="8"/>
      <c r="N6" s="8"/>
    </row>
    <row r="7" spans="1:14" ht="15" customHeight="1" x14ac:dyDescent="0.2">
      <c r="A7" s="7">
        <v>3</v>
      </c>
      <c r="B7" s="7">
        <v>1</v>
      </c>
      <c r="C7" s="8" t="s">
        <v>20</v>
      </c>
      <c r="D7" s="12" t="s">
        <v>21</v>
      </c>
      <c r="E7" s="10">
        <v>46306</v>
      </c>
      <c r="F7" s="10">
        <v>46310</v>
      </c>
      <c r="G7" s="8" t="s">
        <v>22</v>
      </c>
      <c r="H7" s="11"/>
      <c r="I7" s="8"/>
      <c r="J7" s="8"/>
      <c r="K7" s="8"/>
      <c r="L7" s="8"/>
      <c r="M7" s="8"/>
      <c r="N7" s="8"/>
    </row>
    <row r="8" spans="1:14" ht="15" customHeight="1" x14ac:dyDescent="0.2">
      <c r="A8" s="7">
        <v>4</v>
      </c>
      <c r="B8" s="7">
        <v>1</v>
      </c>
      <c r="C8" s="8" t="s">
        <v>23</v>
      </c>
      <c r="D8" s="9" t="s">
        <v>16</v>
      </c>
      <c r="E8" s="10">
        <v>46306</v>
      </c>
      <c r="F8" s="10">
        <v>46310</v>
      </c>
      <c r="G8" s="8" t="s">
        <v>24</v>
      </c>
      <c r="H8" s="11"/>
      <c r="I8" s="8"/>
      <c r="J8" s="8"/>
      <c r="K8" s="8"/>
      <c r="L8" s="8"/>
      <c r="M8" s="8"/>
      <c r="N8" s="8"/>
    </row>
    <row r="9" spans="1:14" ht="15" customHeight="1" x14ac:dyDescent="0.2">
      <c r="A9" s="7">
        <v>5</v>
      </c>
      <c r="B9" s="7">
        <v>1</v>
      </c>
      <c r="C9" s="8" t="s">
        <v>25</v>
      </c>
      <c r="D9" s="9" t="s">
        <v>16</v>
      </c>
      <c r="E9" s="10">
        <v>46306</v>
      </c>
      <c r="F9" s="10">
        <v>46310</v>
      </c>
      <c r="G9" s="8" t="s">
        <v>25</v>
      </c>
      <c r="H9" s="11"/>
      <c r="I9" s="8"/>
      <c r="J9" s="8"/>
      <c r="K9" s="8"/>
      <c r="L9" s="8"/>
      <c r="M9" s="8"/>
      <c r="N9" s="8"/>
    </row>
    <row r="10" spans="1:14" ht="15" customHeight="1" x14ac:dyDescent="0.2">
      <c r="A10" s="7">
        <v>6</v>
      </c>
      <c r="B10" s="7">
        <v>1</v>
      </c>
      <c r="C10" s="8" t="s">
        <v>26</v>
      </c>
      <c r="D10" s="13" t="s">
        <v>27</v>
      </c>
      <c r="E10" s="10">
        <v>46306</v>
      </c>
      <c r="F10" s="10">
        <v>46310</v>
      </c>
      <c r="G10" s="8" t="s">
        <v>28</v>
      </c>
      <c r="H10" s="11"/>
      <c r="I10" s="8"/>
      <c r="J10" s="8"/>
      <c r="K10" s="8"/>
      <c r="L10" s="8"/>
      <c r="M10" s="8"/>
      <c r="N10" s="8"/>
    </row>
    <row r="11" spans="1:14" ht="15" customHeight="1" x14ac:dyDescent="0.2">
      <c r="A11" s="7">
        <v>7</v>
      </c>
      <c r="B11" s="7">
        <v>1</v>
      </c>
      <c r="C11" s="8" t="s">
        <v>29</v>
      </c>
      <c r="D11" s="13" t="s">
        <v>27</v>
      </c>
      <c r="E11" s="10">
        <v>46306</v>
      </c>
      <c r="F11" s="10">
        <v>46310</v>
      </c>
      <c r="G11" s="8" t="s">
        <v>30</v>
      </c>
      <c r="H11" s="11"/>
      <c r="I11" s="8"/>
      <c r="J11" s="8"/>
      <c r="K11" s="8"/>
      <c r="L11" s="8"/>
      <c r="M11" s="8"/>
      <c r="N11" s="8"/>
    </row>
    <row r="12" spans="1:14" ht="15" customHeight="1" x14ac:dyDescent="0.2">
      <c r="A12" s="7">
        <v>8</v>
      </c>
      <c r="B12" s="7">
        <v>1</v>
      </c>
      <c r="C12" s="8" t="s">
        <v>31</v>
      </c>
      <c r="D12" s="14" t="s">
        <v>32</v>
      </c>
      <c r="E12" s="10">
        <v>46306</v>
      </c>
      <c r="F12" s="10">
        <v>46310</v>
      </c>
      <c r="G12" s="8" t="s">
        <v>33</v>
      </c>
      <c r="H12" s="11"/>
      <c r="I12" s="8"/>
      <c r="J12" s="8"/>
      <c r="K12" s="8"/>
      <c r="L12" s="8"/>
      <c r="M12" s="8"/>
      <c r="N12" s="8"/>
    </row>
    <row r="13" spans="1:14" ht="15" customHeight="1" x14ac:dyDescent="0.2">
      <c r="A13" s="7">
        <v>9</v>
      </c>
      <c r="B13" s="7">
        <v>1</v>
      </c>
      <c r="C13" s="8" t="s">
        <v>34</v>
      </c>
      <c r="D13" s="14" t="s">
        <v>32</v>
      </c>
      <c r="E13" s="10">
        <v>46306</v>
      </c>
      <c r="F13" s="10">
        <v>46310</v>
      </c>
      <c r="G13" s="8" t="s">
        <v>34</v>
      </c>
      <c r="H13" s="11"/>
      <c r="I13" s="8"/>
      <c r="J13" s="8"/>
      <c r="K13" s="8"/>
      <c r="L13" s="8"/>
      <c r="M13" s="8"/>
      <c r="N13" s="8"/>
    </row>
    <row r="14" spans="1:14" ht="15" customHeight="1" x14ac:dyDescent="0.2">
      <c r="A14" s="7">
        <v>10</v>
      </c>
      <c r="B14" s="7">
        <v>1</v>
      </c>
      <c r="C14" s="8" t="s">
        <v>35</v>
      </c>
      <c r="D14" s="14" t="s">
        <v>32</v>
      </c>
      <c r="E14" s="10">
        <v>46306</v>
      </c>
      <c r="F14" s="10">
        <v>46310</v>
      </c>
      <c r="G14" s="8" t="s">
        <v>35</v>
      </c>
      <c r="H14" s="11"/>
      <c r="I14" s="8"/>
      <c r="J14" s="8"/>
      <c r="K14" s="8"/>
      <c r="L14" s="8"/>
      <c r="M14" s="8"/>
      <c r="N14" s="8"/>
    </row>
    <row r="15" spans="1:14" ht="15" customHeight="1" x14ac:dyDescent="0.2">
      <c r="A15" s="7">
        <v>11</v>
      </c>
      <c r="B15" s="7">
        <v>2</v>
      </c>
      <c r="C15" s="8" t="s">
        <v>36</v>
      </c>
      <c r="D15" s="9" t="s">
        <v>16</v>
      </c>
      <c r="E15" s="10">
        <v>46313</v>
      </c>
      <c r="F15" s="10">
        <v>46317</v>
      </c>
      <c r="G15" s="8" t="s">
        <v>37</v>
      </c>
      <c r="H15" s="8"/>
      <c r="I15" s="11"/>
      <c r="J15" s="8"/>
      <c r="K15" s="8"/>
      <c r="L15" s="8"/>
      <c r="M15" s="8"/>
      <c r="N15" s="8"/>
    </row>
    <row r="16" spans="1:14" ht="15" customHeight="1" x14ac:dyDescent="0.2">
      <c r="A16" s="7">
        <v>12</v>
      </c>
      <c r="B16" s="7">
        <v>2</v>
      </c>
      <c r="C16" s="8" t="s">
        <v>38</v>
      </c>
      <c r="D16" s="12" t="s">
        <v>21</v>
      </c>
      <c r="E16" s="10">
        <v>46313</v>
      </c>
      <c r="F16" s="10">
        <v>46317</v>
      </c>
      <c r="G16" s="8" t="s">
        <v>39</v>
      </c>
      <c r="H16" s="8"/>
      <c r="I16" s="11"/>
      <c r="J16" s="8"/>
      <c r="K16" s="8"/>
      <c r="L16" s="8"/>
      <c r="M16" s="8"/>
      <c r="N16" s="8"/>
    </row>
    <row r="17" spans="1:14" ht="15" customHeight="1" x14ac:dyDescent="0.2">
      <c r="A17" s="7">
        <v>13</v>
      </c>
      <c r="B17" s="7">
        <v>2</v>
      </c>
      <c r="C17" s="8" t="s">
        <v>40</v>
      </c>
      <c r="D17" s="12" t="s">
        <v>21</v>
      </c>
      <c r="E17" s="10">
        <v>46313</v>
      </c>
      <c r="F17" s="10">
        <v>46317</v>
      </c>
      <c r="G17" s="8" t="s">
        <v>41</v>
      </c>
      <c r="H17" s="8"/>
      <c r="I17" s="11"/>
      <c r="J17" s="8"/>
      <c r="K17" s="8"/>
      <c r="L17" s="8"/>
      <c r="M17" s="8"/>
      <c r="N17" s="8"/>
    </row>
    <row r="18" spans="1:14" ht="15" customHeight="1" x14ac:dyDescent="0.2">
      <c r="A18" s="7">
        <v>14</v>
      </c>
      <c r="B18" s="7">
        <v>2</v>
      </c>
      <c r="C18" s="8" t="s">
        <v>42</v>
      </c>
      <c r="D18" s="13" t="s">
        <v>27</v>
      </c>
      <c r="E18" s="10">
        <v>46313</v>
      </c>
      <c r="F18" s="10">
        <v>46317</v>
      </c>
      <c r="G18" s="8" t="s">
        <v>43</v>
      </c>
      <c r="H18" s="8"/>
      <c r="I18" s="11"/>
      <c r="J18" s="8"/>
      <c r="K18" s="8"/>
      <c r="L18" s="8"/>
      <c r="M18" s="8"/>
      <c r="N18" s="8"/>
    </row>
    <row r="19" spans="1:14" ht="15" customHeight="1" x14ac:dyDescent="0.2">
      <c r="A19" s="7">
        <v>15</v>
      </c>
      <c r="B19" s="7">
        <v>2</v>
      </c>
      <c r="C19" s="8" t="s">
        <v>44</v>
      </c>
      <c r="D19" s="14" t="s">
        <v>32</v>
      </c>
      <c r="E19" s="10">
        <v>46313</v>
      </c>
      <c r="F19" s="10">
        <v>46317</v>
      </c>
      <c r="G19" s="8" t="s">
        <v>45</v>
      </c>
      <c r="H19" s="8"/>
      <c r="I19" s="11"/>
      <c r="J19" s="8"/>
      <c r="K19" s="8"/>
      <c r="L19" s="8"/>
      <c r="M19" s="8"/>
      <c r="N19" s="8"/>
    </row>
    <row r="20" spans="1:14" ht="27" customHeight="1" x14ac:dyDescent="0.2">
      <c r="A20" s="7">
        <v>16</v>
      </c>
      <c r="B20" s="7">
        <v>3</v>
      </c>
      <c r="C20" s="8" t="s">
        <v>46</v>
      </c>
      <c r="D20" s="9" t="s">
        <v>16</v>
      </c>
      <c r="E20" s="10">
        <v>46320</v>
      </c>
      <c r="F20" s="10">
        <v>46324</v>
      </c>
      <c r="G20" s="8" t="s">
        <v>47</v>
      </c>
      <c r="H20" s="8"/>
      <c r="I20" s="8"/>
      <c r="J20" s="11"/>
      <c r="K20" s="8"/>
      <c r="L20" s="8"/>
      <c r="M20" s="8"/>
      <c r="N20" s="8"/>
    </row>
    <row r="21" spans="1:14" ht="15" customHeight="1" x14ac:dyDescent="0.2">
      <c r="A21" s="7">
        <v>17</v>
      </c>
      <c r="B21" s="7">
        <v>3</v>
      </c>
      <c r="C21" s="8" t="s">
        <v>48</v>
      </c>
      <c r="D21" s="12" t="s">
        <v>21</v>
      </c>
      <c r="E21" s="10">
        <v>46320</v>
      </c>
      <c r="F21" s="10">
        <v>46324</v>
      </c>
      <c r="G21" s="8" t="s">
        <v>49</v>
      </c>
      <c r="H21" s="8"/>
      <c r="I21" s="8"/>
      <c r="J21" s="11"/>
      <c r="K21" s="8"/>
      <c r="L21" s="8"/>
      <c r="M21" s="8"/>
      <c r="N21" s="8"/>
    </row>
    <row r="22" spans="1:14" ht="15" customHeight="1" x14ac:dyDescent="0.2">
      <c r="A22" s="7">
        <v>18</v>
      </c>
      <c r="B22" s="7">
        <v>3</v>
      </c>
      <c r="C22" s="8" t="s">
        <v>50</v>
      </c>
      <c r="D22" s="13" t="s">
        <v>27</v>
      </c>
      <c r="E22" s="10">
        <v>46320</v>
      </c>
      <c r="F22" s="10">
        <v>46324</v>
      </c>
      <c r="G22" s="8" t="s">
        <v>51</v>
      </c>
      <c r="H22" s="8"/>
      <c r="I22" s="8"/>
      <c r="J22" s="11"/>
      <c r="K22" s="8"/>
      <c r="L22" s="8"/>
      <c r="M22" s="8"/>
      <c r="N22" s="8"/>
    </row>
    <row r="23" spans="1:14" ht="15" customHeight="1" x14ac:dyDescent="0.2">
      <c r="A23" s="7">
        <v>19</v>
      </c>
      <c r="B23" s="7">
        <v>3</v>
      </c>
      <c r="C23" s="8" t="s">
        <v>52</v>
      </c>
      <c r="D23" s="14" t="s">
        <v>32</v>
      </c>
      <c r="E23" s="10">
        <v>46320</v>
      </c>
      <c r="F23" s="10">
        <v>46324</v>
      </c>
      <c r="G23" s="8" t="s">
        <v>53</v>
      </c>
      <c r="H23" s="8"/>
      <c r="I23" s="8"/>
      <c r="J23" s="11"/>
      <c r="K23" s="8"/>
      <c r="L23" s="8"/>
      <c r="M23" s="8"/>
      <c r="N23" s="8"/>
    </row>
    <row r="24" spans="1:14" ht="15" customHeight="1" x14ac:dyDescent="0.2">
      <c r="A24" s="7">
        <v>20</v>
      </c>
      <c r="B24" s="7">
        <v>4</v>
      </c>
      <c r="C24" s="8" t="s">
        <v>54</v>
      </c>
      <c r="D24" s="9" t="s">
        <v>16</v>
      </c>
      <c r="E24" s="10">
        <v>46327</v>
      </c>
      <c r="F24" s="10">
        <v>46331</v>
      </c>
      <c r="G24" s="8" t="s">
        <v>55</v>
      </c>
      <c r="H24" s="8"/>
      <c r="I24" s="8"/>
      <c r="J24" s="8"/>
      <c r="K24" s="11"/>
      <c r="L24" s="8"/>
      <c r="M24" s="8"/>
      <c r="N24" s="8"/>
    </row>
    <row r="25" spans="1:14" ht="23.25" customHeight="1" x14ac:dyDescent="0.2">
      <c r="A25" s="7">
        <v>21</v>
      </c>
      <c r="B25" s="7">
        <v>4</v>
      </c>
      <c r="C25" s="8" t="s">
        <v>56</v>
      </c>
      <c r="D25" s="12" t="s">
        <v>21</v>
      </c>
      <c r="E25" s="10">
        <v>46327</v>
      </c>
      <c r="F25" s="10">
        <v>46331</v>
      </c>
      <c r="G25" s="8" t="s">
        <v>57</v>
      </c>
      <c r="H25" s="8"/>
      <c r="I25" s="8"/>
      <c r="J25" s="8"/>
      <c r="K25" s="11"/>
      <c r="L25" s="8"/>
      <c r="M25" s="8"/>
      <c r="N25" s="8"/>
    </row>
    <row r="26" spans="1:14" ht="15" customHeight="1" x14ac:dyDescent="0.2">
      <c r="A26" s="7">
        <v>22</v>
      </c>
      <c r="B26" s="7">
        <v>4</v>
      </c>
      <c r="C26" s="8" t="s">
        <v>58</v>
      </c>
      <c r="D26" s="13" t="s">
        <v>27</v>
      </c>
      <c r="E26" s="10">
        <v>46327</v>
      </c>
      <c r="F26" s="10">
        <v>46331</v>
      </c>
      <c r="G26" s="8" t="s">
        <v>59</v>
      </c>
      <c r="H26" s="8"/>
      <c r="I26" s="8"/>
      <c r="J26" s="8"/>
      <c r="K26" s="11"/>
      <c r="L26" s="8"/>
      <c r="M26" s="8"/>
      <c r="N26" s="8"/>
    </row>
    <row r="27" spans="1:14" ht="15" customHeight="1" x14ac:dyDescent="0.2">
      <c r="A27" s="7">
        <v>23</v>
      </c>
      <c r="B27" s="7">
        <v>4</v>
      </c>
      <c r="C27" s="8" t="s">
        <v>60</v>
      </c>
      <c r="D27" s="14" t="s">
        <v>32</v>
      </c>
      <c r="E27" s="10">
        <v>46327</v>
      </c>
      <c r="F27" s="10">
        <v>46331</v>
      </c>
      <c r="G27" s="8" t="s">
        <v>61</v>
      </c>
      <c r="H27" s="8"/>
      <c r="I27" s="8"/>
      <c r="J27" s="8"/>
      <c r="K27" s="11"/>
      <c r="L27" s="8"/>
      <c r="M27" s="8"/>
      <c r="N27" s="8"/>
    </row>
    <row r="28" spans="1:14" ht="15" customHeight="1" x14ac:dyDescent="0.2">
      <c r="A28" s="7">
        <v>24</v>
      </c>
      <c r="B28" s="7">
        <v>5</v>
      </c>
      <c r="C28" s="8" t="s">
        <v>62</v>
      </c>
      <c r="D28" s="13" t="s">
        <v>27</v>
      </c>
      <c r="E28" s="10">
        <v>46334</v>
      </c>
      <c r="F28" s="10">
        <v>46338</v>
      </c>
      <c r="G28" s="8" t="s">
        <v>63</v>
      </c>
      <c r="H28" s="8"/>
      <c r="I28" s="8"/>
      <c r="J28" s="8"/>
      <c r="K28" s="8"/>
      <c r="L28" s="11"/>
      <c r="M28" s="8"/>
      <c r="N28" s="8"/>
    </row>
    <row r="29" spans="1:14" ht="15" customHeight="1" x14ac:dyDescent="0.2">
      <c r="A29" s="7">
        <v>25</v>
      </c>
      <c r="B29" s="7">
        <v>5</v>
      </c>
      <c r="C29" s="8" t="s">
        <v>64</v>
      </c>
      <c r="D29" s="9" t="s">
        <v>16</v>
      </c>
      <c r="E29" s="10">
        <v>46334</v>
      </c>
      <c r="F29" s="10">
        <v>46338</v>
      </c>
      <c r="G29" s="8" t="s">
        <v>65</v>
      </c>
      <c r="H29" s="8"/>
      <c r="I29" s="8"/>
      <c r="J29" s="8"/>
      <c r="K29" s="8"/>
      <c r="L29" s="11"/>
      <c r="M29" s="8"/>
      <c r="N29" s="8"/>
    </row>
    <row r="30" spans="1:14" ht="15" customHeight="1" x14ac:dyDescent="0.2">
      <c r="A30" s="7">
        <v>26</v>
      </c>
      <c r="B30" s="7">
        <v>5</v>
      </c>
      <c r="C30" s="8" t="s">
        <v>66</v>
      </c>
      <c r="D30" s="14" t="s">
        <v>32</v>
      </c>
      <c r="E30" s="10">
        <v>46334</v>
      </c>
      <c r="F30" s="10">
        <v>46338</v>
      </c>
      <c r="G30" s="8" t="s">
        <v>67</v>
      </c>
      <c r="H30" s="8"/>
      <c r="I30" s="8"/>
      <c r="J30" s="8"/>
      <c r="K30" s="8"/>
      <c r="L30" s="11"/>
      <c r="M30" s="8"/>
      <c r="N30" s="8"/>
    </row>
    <row r="31" spans="1:14" ht="15" customHeight="1" x14ac:dyDescent="0.2">
      <c r="A31" s="7">
        <v>27</v>
      </c>
      <c r="B31" s="7">
        <v>5</v>
      </c>
      <c r="C31" s="8" t="s">
        <v>68</v>
      </c>
      <c r="D31" s="12" t="s">
        <v>21</v>
      </c>
      <c r="E31" s="10">
        <v>46334</v>
      </c>
      <c r="F31" s="10">
        <v>46338</v>
      </c>
      <c r="G31" s="8" t="s">
        <v>69</v>
      </c>
      <c r="H31" s="8"/>
      <c r="I31" s="8"/>
      <c r="J31" s="8"/>
      <c r="K31" s="8"/>
      <c r="L31" s="11"/>
      <c r="M31" s="8"/>
      <c r="N31" s="8"/>
    </row>
    <row r="32" spans="1:14" ht="15" customHeight="1" x14ac:dyDescent="0.2">
      <c r="A32" s="7">
        <v>28</v>
      </c>
      <c r="B32" s="7">
        <v>5</v>
      </c>
      <c r="C32" s="8" t="s">
        <v>70</v>
      </c>
      <c r="D32" s="9" t="s">
        <v>16</v>
      </c>
      <c r="E32" s="10">
        <v>46334</v>
      </c>
      <c r="F32" s="10">
        <v>46338</v>
      </c>
      <c r="G32" s="8" t="s">
        <v>71</v>
      </c>
      <c r="H32" s="8"/>
      <c r="I32" s="8"/>
      <c r="J32" s="8"/>
      <c r="K32" s="8"/>
      <c r="L32" s="11"/>
      <c r="M32" s="8"/>
      <c r="N32" s="8"/>
    </row>
    <row r="33" spans="1:14" ht="15" customHeight="1" x14ac:dyDescent="0.2">
      <c r="A33" s="7">
        <v>29</v>
      </c>
      <c r="B33" s="7">
        <v>6</v>
      </c>
      <c r="C33" s="8" t="s">
        <v>72</v>
      </c>
      <c r="D33" s="9" t="s">
        <v>16</v>
      </c>
      <c r="E33" s="10">
        <v>46341</v>
      </c>
      <c r="F33" s="10">
        <v>46345</v>
      </c>
      <c r="G33" s="8" t="s">
        <v>73</v>
      </c>
      <c r="H33" s="8"/>
      <c r="I33" s="8"/>
      <c r="J33" s="8"/>
      <c r="K33" s="8"/>
      <c r="L33" s="8"/>
      <c r="M33" s="11"/>
      <c r="N33" s="8"/>
    </row>
    <row r="34" spans="1:14" ht="15" customHeight="1" x14ac:dyDescent="0.2">
      <c r="A34" s="7">
        <v>30</v>
      </c>
      <c r="B34" s="7">
        <v>6</v>
      </c>
      <c r="C34" s="8" t="s">
        <v>74</v>
      </c>
      <c r="D34" s="12" t="s">
        <v>21</v>
      </c>
      <c r="E34" s="10">
        <v>46341</v>
      </c>
      <c r="F34" s="10">
        <v>46345</v>
      </c>
      <c r="G34" s="8" t="s">
        <v>75</v>
      </c>
      <c r="H34" s="8"/>
      <c r="I34" s="8"/>
      <c r="J34" s="8"/>
      <c r="K34" s="8"/>
      <c r="L34" s="8"/>
      <c r="M34" s="11"/>
      <c r="N34" s="8"/>
    </row>
    <row r="35" spans="1:14" ht="15" customHeight="1" x14ac:dyDescent="0.2">
      <c r="A35" s="7">
        <v>31</v>
      </c>
      <c r="B35" s="7">
        <v>6</v>
      </c>
      <c r="C35" s="8" t="s">
        <v>76</v>
      </c>
      <c r="D35" s="13" t="s">
        <v>27</v>
      </c>
      <c r="E35" s="10">
        <v>46341</v>
      </c>
      <c r="F35" s="10">
        <v>46345</v>
      </c>
      <c r="G35" s="8" t="s">
        <v>77</v>
      </c>
      <c r="H35" s="8"/>
      <c r="I35" s="8"/>
      <c r="J35" s="8"/>
      <c r="K35" s="8"/>
      <c r="L35" s="8"/>
      <c r="M35" s="11"/>
      <c r="N35" s="8"/>
    </row>
    <row r="36" spans="1:14" ht="15" customHeight="1" x14ac:dyDescent="0.2">
      <c r="A36" s="7">
        <v>32</v>
      </c>
      <c r="B36" s="7">
        <v>6</v>
      </c>
      <c r="C36" s="8" t="s">
        <v>78</v>
      </c>
      <c r="D36" s="14" t="s">
        <v>32</v>
      </c>
      <c r="E36" s="10">
        <v>46341</v>
      </c>
      <c r="F36" s="10">
        <v>46345</v>
      </c>
      <c r="G36" s="8" t="s">
        <v>79</v>
      </c>
      <c r="H36" s="8"/>
      <c r="I36" s="8"/>
      <c r="J36" s="8"/>
      <c r="K36" s="8"/>
      <c r="L36" s="8"/>
      <c r="M36" s="11"/>
      <c r="N36" s="8"/>
    </row>
    <row r="37" spans="1:14" ht="15" customHeight="1" x14ac:dyDescent="0.2">
      <c r="A37" s="7">
        <v>33</v>
      </c>
      <c r="B37" s="7">
        <v>7</v>
      </c>
      <c r="C37" s="8" t="s">
        <v>80</v>
      </c>
      <c r="D37" s="9" t="s">
        <v>16</v>
      </c>
      <c r="E37" s="10">
        <v>46348</v>
      </c>
      <c r="F37" s="10">
        <v>46352</v>
      </c>
      <c r="G37" s="8" t="s">
        <v>81</v>
      </c>
      <c r="H37" s="8"/>
      <c r="I37" s="8"/>
      <c r="J37" s="8"/>
      <c r="K37" s="8"/>
      <c r="L37" s="8"/>
      <c r="M37" s="8"/>
      <c r="N37" s="11"/>
    </row>
    <row r="38" spans="1:14" ht="15" customHeight="1" x14ac:dyDescent="0.2">
      <c r="A38" s="7">
        <v>34</v>
      </c>
      <c r="B38" s="7">
        <v>7</v>
      </c>
      <c r="C38" s="8" t="s">
        <v>82</v>
      </c>
      <c r="D38" s="12" t="s">
        <v>21</v>
      </c>
      <c r="E38" s="10">
        <v>46348</v>
      </c>
      <c r="F38" s="10">
        <v>46352</v>
      </c>
      <c r="G38" s="8" t="s">
        <v>83</v>
      </c>
      <c r="H38" s="8"/>
      <c r="I38" s="8"/>
      <c r="J38" s="8"/>
      <c r="K38" s="8"/>
      <c r="L38" s="8"/>
      <c r="M38" s="8"/>
      <c r="N38" s="11"/>
    </row>
    <row r="39" spans="1:14" ht="15" customHeight="1" x14ac:dyDescent="0.2">
      <c r="A39" s="7">
        <v>35</v>
      </c>
      <c r="B39" s="7">
        <v>7</v>
      </c>
      <c r="C39" s="8" t="s">
        <v>84</v>
      </c>
      <c r="D39" s="13" t="s">
        <v>27</v>
      </c>
      <c r="E39" s="10">
        <v>46348</v>
      </c>
      <c r="F39" s="10">
        <v>46352</v>
      </c>
      <c r="G39" s="8" t="s">
        <v>85</v>
      </c>
      <c r="H39" s="8"/>
      <c r="I39" s="8"/>
      <c r="J39" s="8"/>
      <c r="K39" s="8"/>
      <c r="L39" s="8"/>
      <c r="M39" s="8"/>
      <c r="N39" s="11"/>
    </row>
    <row r="40" spans="1:14" ht="15" customHeight="1" x14ac:dyDescent="0.2">
      <c r="A40" s="7">
        <v>36</v>
      </c>
      <c r="B40" s="7">
        <v>7</v>
      </c>
      <c r="C40" s="8" t="s">
        <v>86</v>
      </c>
      <c r="D40" s="14" t="s">
        <v>32</v>
      </c>
      <c r="E40" s="10">
        <v>46348</v>
      </c>
      <c r="F40" s="10">
        <v>46352</v>
      </c>
      <c r="G40" s="8" t="s">
        <v>87</v>
      </c>
      <c r="H40" s="8"/>
      <c r="I40" s="8"/>
      <c r="J40" s="8"/>
      <c r="K40" s="8"/>
      <c r="L40" s="8"/>
      <c r="M40" s="8"/>
      <c r="N40" s="11"/>
    </row>
  </sheetData>
  <autoFilter ref="A4:N40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D20"/>
  <sheetViews>
    <sheetView topLeftCell="C1" zoomScaleNormal="100" workbookViewId="0"/>
  </sheetViews>
  <sheetFormatPr defaultColWidth="8.7421875" defaultRowHeight="15" x14ac:dyDescent="0.2"/>
  <cols>
    <col min="1" max="1" width="25.9609375" style="4" customWidth="1"/>
    <col min="2" max="2" width="13.98828125" style="4" customWidth="1"/>
    <col min="3" max="3" width="69.94921875" style="4" customWidth="1"/>
    <col min="4" max="4" width="52.05859375" style="4" customWidth="1"/>
  </cols>
  <sheetData>
    <row r="1" spans="1:4" ht="17.25" customHeight="1" x14ac:dyDescent="0.2">
      <c r="A1" s="5" t="s">
        <v>88</v>
      </c>
    </row>
    <row r="4" spans="1:4" ht="15" customHeight="1" x14ac:dyDescent="0.2">
      <c r="A4" s="6" t="s">
        <v>89</v>
      </c>
      <c r="B4" s="6" t="s">
        <v>90</v>
      </c>
      <c r="C4" s="6" t="s">
        <v>91</v>
      </c>
      <c r="D4" s="6" t="s">
        <v>92</v>
      </c>
    </row>
    <row r="5" spans="1:4" ht="23.25" customHeight="1" x14ac:dyDescent="0.2">
      <c r="A5" s="8" t="s">
        <v>93</v>
      </c>
      <c r="B5" s="10">
        <v>46310</v>
      </c>
      <c r="C5" s="8" t="s">
        <v>94</v>
      </c>
      <c r="D5" s="8" t="s">
        <v>95</v>
      </c>
    </row>
    <row r="6" spans="1:4" ht="23.25" customHeight="1" x14ac:dyDescent="0.2">
      <c r="A6" s="8" t="s">
        <v>96</v>
      </c>
      <c r="B6" s="10">
        <v>46317</v>
      </c>
      <c r="C6" s="8" t="s">
        <v>97</v>
      </c>
      <c r="D6" s="8" t="s">
        <v>98</v>
      </c>
    </row>
    <row r="7" spans="1:4" ht="36" customHeight="1" x14ac:dyDescent="0.2">
      <c r="A7" s="8" t="s">
        <v>99</v>
      </c>
      <c r="B7" s="10">
        <v>46324</v>
      </c>
      <c r="C7" s="8" t="s">
        <v>100</v>
      </c>
      <c r="D7" s="8" t="s">
        <v>101</v>
      </c>
    </row>
    <row r="8" spans="1:4" ht="23.25" customHeight="1" x14ac:dyDescent="0.2">
      <c r="A8" s="8" t="s">
        <v>102</v>
      </c>
      <c r="B8" s="10">
        <v>46331</v>
      </c>
      <c r="C8" s="8" t="s">
        <v>103</v>
      </c>
      <c r="D8" s="8" t="s">
        <v>104</v>
      </c>
    </row>
    <row r="9" spans="1:4" ht="15" customHeight="1" x14ac:dyDescent="0.2">
      <c r="A9" s="8" t="s">
        <v>105</v>
      </c>
      <c r="B9" s="10">
        <v>46338</v>
      </c>
      <c r="C9" s="8" t="s">
        <v>106</v>
      </c>
      <c r="D9" s="8" t="s">
        <v>107</v>
      </c>
    </row>
    <row r="10" spans="1:4" ht="15" customHeight="1" x14ac:dyDescent="0.2">
      <c r="A10" s="8" t="s">
        <v>108</v>
      </c>
      <c r="B10" s="10">
        <v>46345</v>
      </c>
      <c r="C10" s="8" t="s">
        <v>109</v>
      </c>
      <c r="D10" s="8" t="s">
        <v>110</v>
      </c>
    </row>
    <row r="11" spans="1:4" ht="15" customHeight="1" x14ac:dyDescent="0.2">
      <c r="A11" s="8" t="s">
        <v>111</v>
      </c>
      <c r="B11" s="10">
        <v>46352</v>
      </c>
      <c r="C11" s="8" t="s">
        <v>112</v>
      </c>
      <c r="D11" s="8" t="s">
        <v>113</v>
      </c>
    </row>
    <row r="13" spans="1:4" ht="15" customHeight="1" x14ac:dyDescent="0.2">
      <c r="A13" s="6" t="s">
        <v>114</v>
      </c>
      <c r="B13" s="6" t="s">
        <v>90</v>
      </c>
      <c r="C13" s="6" t="s">
        <v>115</v>
      </c>
      <c r="D13" s="6"/>
    </row>
    <row r="14" spans="1:4" ht="15" customHeight="1" x14ac:dyDescent="0.2">
      <c r="A14" s="8" t="s">
        <v>116</v>
      </c>
      <c r="B14" s="10">
        <v>46311</v>
      </c>
      <c r="C14" s="8" t="s">
        <v>117</v>
      </c>
      <c r="D14" s="8" t="s">
        <v>118</v>
      </c>
    </row>
    <row r="15" spans="1:4" ht="15" customHeight="1" x14ac:dyDescent="0.2">
      <c r="A15" s="8" t="s">
        <v>116</v>
      </c>
      <c r="B15" s="10">
        <v>46311</v>
      </c>
      <c r="C15" s="8" t="s">
        <v>30</v>
      </c>
      <c r="D15" s="8" t="s">
        <v>118</v>
      </c>
    </row>
    <row r="16" spans="1:4" ht="15" customHeight="1" x14ac:dyDescent="0.2">
      <c r="A16" s="8" t="s">
        <v>116</v>
      </c>
      <c r="B16" s="10">
        <v>46311</v>
      </c>
      <c r="C16" s="8" t="s">
        <v>119</v>
      </c>
      <c r="D16" s="8" t="s">
        <v>118</v>
      </c>
    </row>
    <row r="17" spans="1:4" ht="15" customHeight="1" x14ac:dyDescent="0.2">
      <c r="A17" s="8" t="s">
        <v>116</v>
      </c>
      <c r="B17" s="10">
        <v>46332</v>
      </c>
      <c r="C17" s="8" t="s">
        <v>120</v>
      </c>
      <c r="D17" s="8" t="s">
        <v>118</v>
      </c>
    </row>
    <row r="18" spans="1:4" ht="15" customHeight="1" x14ac:dyDescent="0.2">
      <c r="A18" s="8" t="s">
        <v>116</v>
      </c>
      <c r="B18" s="10">
        <v>46356</v>
      </c>
      <c r="C18" s="8" t="s">
        <v>121</v>
      </c>
      <c r="D18" s="8" t="s">
        <v>118</v>
      </c>
    </row>
    <row r="19" spans="1:4" ht="15" customHeight="1" x14ac:dyDescent="0.2">
      <c r="A19" s="8" t="s">
        <v>116</v>
      </c>
      <c r="B19" s="10">
        <v>46360</v>
      </c>
      <c r="C19" s="8" t="s">
        <v>122</v>
      </c>
      <c r="D19" s="8" t="s">
        <v>118</v>
      </c>
    </row>
    <row r="20" spans="1:4" ht="15" customHeight="1" x14ac:dyDescent="0.2">
      <c r="A20" s="8" t="s">
        <v>123</v>
      </c>
      <c r="B20" s="10">
        <v>46352</v>
      </c>
      <c r="C20" s="8" t="s">
        <v>124</v>
      </c>
      <c r="D20" s="8" t="s">
        <v>125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E40"/>
  <sheetViews>
    <sheetView topLeftCell="B1" zoomScaleNormal="100" workbookViewId="0">
      <pane ySplit="4" topLeftCell="B6" activePane="bottomLeft" state="frozen"/>
      <selection pane="bottomLeft"/>
    </sheetView>
  </sheetViews>
  <sheetFormatPr defaultColWidth="8.7421875" defaultRowHeight="15" x14ac:dyDescent="0.2"/>
  <cols>
    <col min="1" max="1" width="9.01171875" style="4" customWidth="1"/>
    <col min="2" max="2" width="59.99609375" style="4" customWidth="1"/>
    <col min="3" max="3" width="46.00390625" style="4" customWidth="1"/>
    <col min="4" max="4" width="7.93359375" style="4" customWidth="1"/>
    <col min="5" max="5" width="13.98828125" style="4" customWidth="1"/>
  </cols>
  <sheetData>
    <row r="1" spans="1:5" ht="17.25" customHeight="1" x14ac:dyDescent="0.2">
      <c r="A1" s="5" t="s">
        <v>126</v>
      </c>
    </row>
    <row r="4" spans="1:5" ht="15" customHeight="1" x14ac:dyDescent="0.2">
      <c r="A4" s="6" t="s">
        <v>127</v>
      </c>
      <c r="B4" s="6" t="s">
        <v>7</v>
      </c>
      <c r="C4" s="6" t="s">
        <v>4</v>
      </c>
      <c r="D4" s="6" t="s">
        <v>2</v>
      </c>
      <c r="E4" s="6" t="s">
        <v>128</v>
      </c>
    </row>
    <row r="5" spans="1:5" ht="15" customHeight="1" x14ac:dyDescent="0.2">
      <c r="A5" s="7">
        <v>1</v>
      </c>
      <c r="B5" s="8" t="s">
        <v>17</v>
      </c>
      <c r="C5" s="9" t="s">
        <v>16</v>
      </c>
      <c r="D5" s="7">
        <v>1</v>
      </c>
      <c r="E5" s="10">
        <v>46310</v>
      </c>
    </row>
    <row r="6" spans="1:5" ht="15" customHeight="1" x14ac:dyDescent="0.2">
      <c r="A6" s="7">
        <v>2</v>
      </c>
      <c r="B6" s="8" t="s">
        <v>19</v>
      </c>
      <c r="C6" s="9" t="s">
        <v>16</v>
      </c>
      <c r="D6" s="7">
        <v>1</v>
      </c>
      <c r="E6" s="10">
        <v>46310</v>
      </c>
    </row>
    <row r="7" spans="1:5" ht="15" customHeight="1" x14ac:dyDescent="0.2">
      <c r="A7" s="7">
        <v>3</v>
      </c>
      <c r="B7" s="8" t="s">
        <v>22</v>
      </c>
      <c r="C7" s="12" t="s">
        <v>21</v>
      </c>
      <c r="D7" s="7">
        <v>1</v>
      </c>
      <c r="E7" s="10">
        <v>46310</v>
      </c>
    </row>
    <row r="8" spans="1:5" ht="15" customHeight="1" x14ac:dyDescent="0.2">
      <c r="A8" s="7">
        <v>4</v>
      </c>
      <c r="B8" s="8" t="s">
        <v>24</v>
      </c>
      <c r="C8" s="9" t="s">
        <v>16</v>
      </c>
      <c r="D8" s="7">
        <v>1</v>
      </c>
      <c r="E8" s="10">
        <v>46310</v>
      </c>
    </row>
    <row r="9" spans="1:5" ht="15" customHeight="1" x14ac:dyDescent="0.2">
      <c r="A9" s="7">
        <v>5</v>
      </c>
      <c r="B9" s="8" t="s">
        <v>25</v>
      </c>
      <c r="C9" s="9" t="s">
        <v>16</v>
      </c>
      <c r="D9" s="7">
        <v>1</v>
      </c>
      <c r="E9" s="10">
        <v>46310</v>
      </c>
    </row>
    <row r="10" spans="1:5" ht="15" customHeight="1" x14ac:dyDescent="0.2">
      <c r="A10" s="7">
        <v>6</v>
      </c>
      <c r="B10" s="8" t="s">
        <v>28</v>
      </c>
      <c r="C10" s="13" t="s">
        <v>27</v>
      </c>
      <c r="D10" s="7">
        <v>1</v>
      </c>
      <c r="E10" s="10">
        <v>46310</v>
      </c>
    </row>
    <row r="11" spans="1:5" ht="15" customHeight="1" x14ac:dyDescent="0.2">
      <c r="A11" s="7">
        <v>7</v>
      </c>
      <c r="B11" s="8" t="s">
        <v>30</v>
      </c>
      <c r="C11" s="13" t="s">
        <v>27</v>
      </c>
      <c r="D11" s="7">
        <v>1</v>
      </c>
      <c r="E11" s="10">
        <v>46310</v>
      </c>
    </row>
    <row r="12" spans="1:5" ht="15" customHeight="1" x14ac:dyDescent="0.2">
      <c r="A12" s="7">
        <v>8</v>
      </c>
      <c r="B12" s="8" t="s">
        <v>33</v>
      </c>
      <c r="C12" s="14" t="s">
        <v>32</v>
      </c>
      <c r="D12" s="7">
        <v>1</v>
      </c>
      <c r="E12" s="10">
        <v>46310</v>
      </c>
    </row>
    <row r="13" spans="1:5" ht="15" customHeight="1" x14ac:dyDescent="0.2">
      <c r="A13" s="7">
        <v>9</v>
      </c>
      <c r="B13" s="8" t="s">
        <v>34</v>
      </c>
      <c r="C13" s="14" t="s">
        <v>32</v>
      </c>
      <c r="D13" s="7">
        <v>1</v>
      </c>
      <c r="E13" s="10">
        <v>46310</v>
      </c>
    </row>
    <row r="14" spans="1:5" ht="15" customHeight="1" x14ac:dyDescent="0.2">
      <c r="A14" s="7">
        <v>10</v>
      </c>
      <c r="B14" s="8" t="s">
        <v>35</v>
      </c>
      <c r="C14" s="14" t="s">
        <v>32</v>
      </c>
      <c r="D14" s="7">
        <v>1</v>
      </c>
      <c r="E14" s="10">
        <v>46310</v>
      </c>
    </row>
    <row r="15" spans="1:5" ht="15" customHeight="1" x14ac:dyDescent="0.2">
      <c r="A15" s="7">
        <v>11</v>
      </c>
      <c r="B15" s="8" t="s">
        <v>37</v>
      </c>
      <c r="C15" s="9" t="s">
        <v>16</v>
      </c>
      <c r="D15" s="7">
        <v>2</v>
      </c>
      <c r="E15" s="10">
        <v>46317</v>
      </c>
    </row>
    <row r="16" spans="1:5" ht="15" customHeight="1" x14ac:dyDescent="0.2">
      <c r="A16" s="7">
        <v>12</v>
      </c>
      <c r="B16" s="8" t="s">
        <v>39</v>
      </c>
      <c r="C16" s="12" t="s">
        <v>21</v>
      </c>
      <c r="D16" s="7">
        <v>2</v>
      </c>
      <c r="E16" s="10">
        <v>46317</v>
      </c>
    </row>
    <row r="17" spans="1:5" ht="15" customHeight="1" x14ac:dyDescent="0.2">
      <c r="A17" s="7">
        <v>13</v>
      </c>
      <c r="B17" s="8" t="s">
        <v>41</v>
      </c>
      <c r="C17" s="12" t="s">
        <v>21</v>
      </c>
      <c r="D17" s="7">
        <v>2</v>
      </c>
      <c r="E17" s="10">
        <v>46317</v>
      </c>
    </row>
    <row r="18" spans="1:5" ht="15" customHeight="1" x14ac:dyDescent="0.2">
      <c r="A18" s="7">
        <v>14</v>
      </c>
      <c r="B18" s="8" t="s">
        <v>43</v>
      </c>
      <c r="C18" s="13" t="s">
        <v>27</v>
      </c>
      <c r="D18" s="7">
        <v>2</v>
      </c>
      <c r="E18" s="10">
        <v>46317</v>
      </c>
    </row>
    <row r="19" spans="1:5" ht="15" customHeight="1" x14ac:dyDescent="0.2">
      <c r="A19" s="7">
        <v>15</v>
      </c>
      <c r="B19" s="8" t="s">
        <v>45</v>
      </c>
      <c r="C19" s="14" t="s">
        <v>32</v>
      </c>
      <c r="D19" s="7">
        <v>2</v>
      </c>
      <c r="E19" s="10">
        <v>46317</v>
      </c>
    </row>
    <row r="20" spans="1:5" ht="27" customHeight="1" x14ac:dyDescent="0.2">
      <c r="A20" s="7">
        <v>16</v>
      </c>
      <c r="B20" s="8" t="s">
        <v>47</v>
      </c>
      <c r="C20" s="9" t="s">
        <v>16</v>
      </c>
      <c r="D20" s="7">
        <v>3</v>
      </c>
      <c r="E20" s="10">
        <v>46324</v>
      </c>
    </row>
    <row r="21" spans="1:5" ht="15" customHeight="1" x14ac:dyDescent="0.2">
      <c r="A21" s="7">
        <v>17</v>
      </c>
      <c r="B21" s="8" t="s">
        <v>49</v>
      </c>
      <c r="C21" s="12" t="s">
        <v>21</v>
      </c>
      <c r="D21" s="7">
        <v>3</v>
      </c>
      <c r="E21" s="10">
        <v>46324</v>
      </c>
    </row>
    <row r="22" spans="1:5" ht="15" customHeight="1" x14ac:dyDescent="0.2">
      <c r="A22" s="7">
        <v>18</v>
      </c>
      <c r="B22" s="8" t="s">
        <v>51</v>
      </c>
      <c r="C22" s="13" t="s">
        <v>27</v>
      </c>
      <c r="D22" s="7">
        <v>3</v>
      </c>
      <c r="E22" s="10">
        <v>46324</v>
      </c>
    </row>
    <row r="23" spans="1:5" ht="15" customHeight="1" x14ac:dyDescent="0.2">
      <c r="A23" s="7">
        <v>19</v>
      </c>
      <c r="B23" s="8" t="s">
        <v>53</v>
      </c>
      <c r="C23" s="14" t="s">
        <v>32</v>
      </c>
      <c r="D23" s="7">
        <v>3</v>
      </c>
      <c r="E23" s="10">
        <v>46324</v>
      </c>
    </row>
    <row r="24" spans="1:5" ht="15" customHeight="1" x14ac:dyDescent="0.2">
      <c r="A24" s="7">
        <v>20</v>
      </c>
      <c r="B24" s="8" t="s">
        <v>55</v>
      </c>
      <c r="C24" s="9" t="s">
        <v>16</v>
      </c>
      <c r="D24" s="7">
        <v>4</v>
      </c>
      <c r="E24" s="10">
        <v>46331</v>
      </c>
    </row>
    <row r="25" spans="1:5" ht="15" customHeight="1" x14ac:dyDescent="0.2">
      <c r="A25" s="7">
        <v>21</v>
      </c>
      <c r="B25" s="8" t="s">
        <v>57</v>
      </c>
      <c r="C25" s="12" t="s">
        <v>21</v>
      </c>
      <c r="D25" s="7">
        <v>4</v>
      </c>
      <c r="E25" s="10">
        <v>46331</v>
      </c>
    </row>
    <row r="26" spans="1:5" ht="15" customHeight="1" x14ac:dyDescent="0.2">
      <c r="A26" s="7">
        <v>22</v>
      </c>
      <c r="B26" s="8" t="s">
        <v>59</v>
      </c>
      <c r="C26" s="13" t="s">
        <v>27</v>
      </c>
      <c r="D26" s="7">
        <v>4</v>
      </c>
      <c r="E26" s="10">
        <v>46331</v>
      </c>
    </row>
    <row r="27" spans="1:5" ht="15" customHeight="1" x14ac:dyDescent="0.2">
      <c r="A27" s="7">
        <v>23</v>
      </c>
      <c r="B27" s="8" t="s">
        <v>61</v>
      </c>
      <c r="C27" s="14" t="s">
        <v>32</v>
      </c>
      <c r="D27" s="7">
        <v>4</v>
      </c>
      <c r="E27" s="10">
        <v>46331</v>
      </c>
    </row>
    <row r="28" spans="1:5" ht="15" customHeight="1" x14ac:dyDescent="0.2">
      <c r="A28" s="7">
        <v>24</v>
      </c>
      <c r="B28" s="8" t="s">
        <v>63</v>
      </c>
      <c r="C28" s="13" t="s">
        <v>27</v>
      </c>
      <c r="D28" s="7">
        <v>5</v>
      </c>
      <c r="E28" s="10">
        <v>46338</v>
      </c>
    </row>
    <row r="29" spans="1:5" ht="15" customHeight="1" x14ac:dyDescent="0.2">
      <c r="A29" s="7">
        <v>25</v>
      </c>
      <c r="B29" s="8" t="s">
        <v>65</v>
      </c>
      <c r="C29" s="9" t="s">
        <v>16</v>
      </c>
      <c r="D29" s="7">
        <v>5</v>
      </c>
      <c r="E29" s="10">
        <v>46338</v>
      </c>
    </row>
    <row r="30" spans="1:5" ht="15" customHeight="1" x14ac:dyDescent="0.2">
      <c r="A30" s="7">
        <v>26</v>
      </c>
      <c r="B30" s="8" t="s">
        <v>67</v>
      </c>
      <c r="C30" s="14" t="s">
        <v>32</v>
      </c>
      <c r="D30" s="7">
        <v>5</v>
      </c>
      <c r="E30" s="10">
        <v>46338</v>
      </c>
    </row>
    <row r="31" spans="1:5" ht="15" customHeight="1" x14ac:dyDescent="0.2">
      <c r="A31" s="7">
        <v>27</v>
      </c>
      <c r="B31" s="8" t="s">
        <v>69</v>
      </c>
      <c r="C31" s="12" t="s">
        <v>21</v>
      </c>
      <c r="D31" s="7">
        <v>5</v>
      </c>
      <c r="E31" s="10">
        <v>46338</v>
      </c>
    </row>
    <row r="32" spans="1:5" ht="15" customHeight="1" x14ac:dyDescent="0.2">
      <c r="A32" s="7">
        <v>28</v>
      </c>
      <c r="B32" s="8" t="s">
        <v>71</v>
      </c>
      <c r="C32" s="9" t="s">
        <v>16</v>
      </c>
      <c r="D32" s="7">
        <v>5</v>
      </c>
      <c r="E32" s="10">
        <v>46338</v>
      </c>
    </row>
    <row r="33" spans="1:5" ht="15" customHeight="1" x14ac:dyDescent="0.2">
      <c r="A33" s="7">
        <v>29</v>
      </c>
      <c r="B33" s="8" t="s">
        <v>73</v>
      </c>
      <c r="C33" s="9" t="s">
        <v>16</v>
      </c>
      <c r="D33" s="7">
        <v>6</v>
      </c>
      <c r="E33" s="10">
        <v>46345</v>
      </c>
    </row>
    <row r="34" spans="1:5" ht="15" customHeight="1" x14ac:dyDescent="0.2">
      <c r="A34" s="7">
        <v>30</v>
      </c>
      <c r="B34" s="8" t="s">
        <v>75</v>
      </c>
      <c r="C34" s="12" t="s">
        <v>21</v>
      </c>
      <c r="D34" s="7">
        <v>6</v>
      </c>
      <c r="E34" s="10">
        <v>46345</v>
      </c>
    </row>
    <row r="35" spans="1:5" ht="15" customHeight="1" x14ac:dyDescent="0.2">
      <c r="A35" s="7">
        <v>31</v>
      </c>
      <c r="B35" s="8" t="s">
        <v>77</v>
      </c>
      <c r="C35" s="13" t="s">
        <v>27</v>
      </c>
      <c r="D35" s="7">
        <v>6</v>
      </c>
      <c r="E35" s="10">
        <v>46345</v>
      </c>
    </row>
    <row r="36" spans="1:5" ht="15" customHeight="1" x14ac:dyDescent="0.2">
      <c r="A36" s="7">
        <v>32</v>
      </c>
      <c r="B36" s="8" t="s">
        <v>79</v>
      </c>
      <c r="C36" s="14" t="s">
        <v>32</v>
      </c>
      <c r="D36" s="7">
        <v>6</v>
      </c>
      <c r="E36" s="10">
        <v>46345</v>
      </c>
    </row>
    <row r="37" spans="1:5" ht="15" customHeight="1" x14ac:dyDescent="0.2">
      <c r="A37" s="7">
        <v>33</v>
      </c>
      <c r="B37" s="8" t="s">
        <v>81</v>
      </c>
      <c r="C37" s="9" t="s">
        <v>16</v>
      </c>
      <c r="D37" s="7">
        <v>7</v>
      </c>
      <c r="E37" s="10">
        <v>46352</v>
      </c>
    </row>
    <row r="38" spans="1:5" ht="15" customHeight="1" x14ac:dyDescent="0.2">
      <c r="A38" s="7">
        <v>34</v>
      </c>
      <c r="B38" s="8" t="s">
        <v>83</v>
      </c>
      <c r="C38" s="12" t="s">
        <v>21</v>
      </c>
      <c r="D38" s="7">
        <v>7</v>
      </c>
      <c r="E38" s="10">
        <v>46352</v>
      </c>
    </row>
    <row r="39" spans="1:5" ht="15" customHeight="1" x14ac:dyDescent="0.2">
      <c r="A39" s="7">
        <v>35</v>
      </c>
      <c r="B39" s="8" t="s">
        <v>85</v>
      </c>
      <c r="C39" s="13" t="s">
        <v>27</v>
      </c>
      <c r="D39" s="7">
        <v>7</v>
      </c>
      <c r="E39" s="10">
        <v>46352</v>
      </c>
    </row>
    <row r="40" spans="1:5" ht="15" customHeight="1" x14ac:dyDescent="0.2">
      <c r="A40" s="7">
        <v>36</v>
      </c>
      <c r="B40" s="8" t="s">
        <v>87</v>
      </c>
      <c r="C40" s="14" t="s">
        <v>32</v>
      </c>
      <c r="D40" s="7">
        <v>7</v>
      </c>
      <c r="E40" s="10">
        <v>46352</v>
      </c>
    </row>
  </sheetData>
  <autoFilter ref="A4:E40" xr:uid="{00000000-0009-0000-0000-000002000000}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I15"/>
  <sheetViews>
    <sheetView zoomScaleNormal="100" workbookViewId="0"/>
  </sheetViews>
  <sheetFormatPr defaultColWidth="8.7421875" defaultRowHeight="15" x14ac:dyDescent="0.2"/>
  <cols>
    <col min="1" max="1" width="46.00390625" style="4" customWidth="1"/>
    <col min="2" max="8" width="9.953125" style="4" customWidth="1"/>
    <col min="9" max="9" width="11.97265625" style="4" customWidth="1"/>
  </cols>
  <sheetData>
    <row r="1" spans="1:9" ht="17.25" customHeight="1" x14ac:dyDescent="0.2">
      <c r="A1" s="5" t="s">
        <v>129</v>
      </c>
    </row>
    <row r="4" spans="1:9" ht="15" customHeight="1" x14ac:dyDescent="0.2">
      <c r="A4" s="6" t="s">
        <v>4</v>
      </c>
      <c r="B4" s="6" t="s">
        <v>130</v>
      </c>
      <c r="C4" s="6" t="s">
        <v>131</v>
      </c>
      <c r="D4" s="6" t="s">
        <v>132</v>
      </c>
      <c r="E4" s="6" t="s">
        <v>133</v>
      </c>
      <c r="F4" s="6" t="s">
        <v>134</v>
      </c>
      <c r="G4" s="6" t="s">
        <v>135</v>
      </c>
      <c r="H4" s="6" t="s">
        <v>136</v>
      </c>
      <c r="I4" s="6" t="s">
        <v>137</v>
      </c>
    </row>
    <row r="5" spans="1:9" ht="15" customHeight="1" x14ac:dyDescent="0.2">
      <c r="A5" s="15" t="s">
        <v>16</v>
      </c>
      <c r="B5" s="7">
        <f>COUNTIFS(Gantt!$D$5:$D$40,$A5,Gantt!$B$5:$B$40,1)</f>
        <v>4</v>
      </c>
      <c r="C5" s="7">
        <f>COUNTIFS(Gantt!$D$5:$D$40,$A5,Gantt!$B$5:$B$40,2)</f>
        <v>1</v>
      </c>
      <c r="D5" s="7">
        <f>COUNTIFS(Gantt!$D$5:$D$40,$A5,Gantt!$B$5:$B$40,3)</f>
        <v>1</v>
      </c>
      <c r="E5" s="7">
        <f>COUNTIFS(Gantt!$D$5:$D$40,$A5,Gantt!$B$5:$B$40,4)</f>
        <v>1</v>
      </c>
      <c r="F5" s="7">
        <f>COUNTIFS(Gantt!$D$5:$D$40,$A5,Gantt!$B$5:$B$40,5)</f>
        <v>2</v>
      </c>
      <c r="G5" s="7">
        <f>COUNTIFS(Gantt!$D$5:$D$40,$A5,Gantt!$B$5:$B$40,6)</f>
        <v>1</v>
      </c>
      <c r="H5" s="7">
        <f>COUNTIFS(Gantt!$D$5:$D$40,$A5,Gantt!$B$5:$B$40,7)</f>
        <v>1</v>
      </c>
      <c r="I5" s="16">
        <f>SUM(B5:H5)</f>
        <v>11</v>
      </c>
    </row>
    <row r="6" spans="1:9" ht="15" customHeight="1" x14ac:dyDescent="0.2">
      <c r="A6" s="17" t="s">
        <v>21</v>
      </c>
      <c r="B6" s="7">
        <f>COUNTIFS(Gantt!$D$5:$D$40,$A6,Gantt!$B$5:$B$40,1)</f>
        <v>1</v>
      </c>
      <c r="C6" s="7">
        <f>COUNTIFS(Gantt!$D$5:$D$40,$A6,Gantt!$B$5:$B$40,2)</f>
        <v>2</v>
      </c>
      <c r="D6" s="7">
        <f>COUNTIFS(Gantt!$D$5:$D$40,$A6,Gantt!$B$5:$B$40,3)</f>
        <v>1</v>
      </c>
      <c r="E6" s="7">
        <f>COUNTIFS(Gantt!$D$5:$D$40,$A6,Gantt!$B$5:$B$40,4)</f>
        <v>1</v>
      </c>
      <c r="F6" s="7">
        <f>COUNTIFS(Gantt!$D$5:$D$40,$A6,Gantt!$B$5:$B$40,5)</f>
        <v>1</v>
      </c>
      <c r="G6" s="7">
        <f>COUNTIFS(Gantt!$D$5:$D$40,$A6,Gantt!$B$5:$B$40,6)</f>
        <v>1</v>
      </c>
      <c r="H6" s="7">
        <f>COUNTIFS(Gantt!$D$5:$D$40,$A6,Gantt!$B$5:$B$40,7)</f>
        <v>1</v>
      </c>
      <c r="I6" s="16">
        <f>SUM(B6:H6)</f>
        <v>8</v>
      </c>
    </row>
    <row r="7" spans="1:9" ht="15" customHeight="1" x14ac:dyDescent="0.2">
      <c r="A7" s="18" t="s">
        <v>27</v>
      </c>
      <c r="B7" s="7">
        <f>COUNTIFS(Gantt!$D$5:$D$40,$A7,Gantt!$B$5:$B$40,1)</f>
        <v>2</v>
      </c>
      <c r="C7" s="7">
        <f>COUNTIFS(Gantt!$D$5:$D$40,$A7,Gantt!$B$5:$B$40,2)</f>
        <v>1</v>
      </c>
      <c r="D7" s="7">
        <f>COUNTIFS(Gantt!$D$5:$D$40,$A7,Gantt!$B$5:$B$40,3)</f>
        <v>1</v>
      </c>
      <c r="E7" s="7">
        <f>COUNTIFS(Gantt!$D$5:$D$40,$A7,Gantt!$B$5:$B$40,4)</f>
        <v>1</v>
      </c>
      <c r="F7" s="7">
        <f>COUNTIFS(Gantt!$D$5:$D$40,$A7,Gantt!$B$5:$B$40,5)</f>
        <v>1</v>
      </c>
      <c r="G7" s="7">
        <f>COUNTIFS(Gantt!$D$5:$D$40,$A7,Gantt!$B$5:$B$40,6)</f>
        <v>1</v>
      </c>
      <c r="H7" s="7">
        <f>COUNTIFS(Gantt!$D$5:$D$40,$A7,Gantt!$B$5:$B$40,7)</f>
        <v>1</v>
      </c>
      <c r="I7" s="16">
        <f>SUM(B7:H7)</f>
        <v>8</v>
      </c>
    </row>
    <row r="8" spans="1:9" ht="15" customHeight="1" x14ac:dyDescent="0.2">
      <c r="A8" s="19" t="s">
        <v>32</v>
      </c>
      <c r="B8" s="7">
        <f>COUNTIFS(Gantt!$D$5:$D$40,$A8,Gantt!$B$5:$B$40,1)</f>
        <v>3</v>
      </c>
      <c r="C8" s="7">
        <f>COUNTIFS(Gantt!$D$5:$D$40,$A8,Gantt!$B$5:$B$40,2)</f>
        <v>1</v>
      </c>
      <c r="D8" s="7">
        <f>COUNTIFS(Gantt!$D$5:$D$40,$A8,Gantt!$B$5:$B$40,3)</f>
        <v>1</v>
      </c>
      <c r="E8" s="7">
        <f>COUNTIFS(Gantt!$D$5:$D$40,$A8,Gantt!$B$5:$B$40,4)</f>
        <v>1</v>
      </c>
      <c r="F8" s="7">
        <f>COUNTIFS(Gantt!$D$5:$D$40,$A8,Gantt!$B$5:$B$40,5)</f>
        <v>1</v>
      </c>
      <c r="G8" s="7">
        <f>COUNTIFS(Gantt!$D$5:$D$40,$A8,Gantt!$B$5:$B$40,6)</f>
        <v>1</v>
      </c>
      <c r="H8" s="7">
        <f>COUNTIFS(Gantt!$D$5:$D$40,$A8,Gantt!$B$5:$B$40,7)</f>
        <v>1</v>
      </c>
      <c r="I8" s="16">
        <f>SUM(B8:H8)</f>
        <v>9</v>
      </c>
    </row>
    <row r="9" spans="1:9" ht="15" customHeight="1" x14ac:dyDescent="0.2">
      <c r="A9" s="20" t="s">
        <v>138</v>
      </c>
      <c r="B9" s="16">
        <f>SUM(B5:B8)</f>
        <v>10</v>
      </c>
      <c r="C9" s="16">
        <f>SUM(C5:C8)</f>
        <v>5</v>
      </c>
      <c r="D9" s="16">
        <f>SUM(D5:D8)</f>
        <v>4</v>
      </c>
      <c r="E9" s="16">
        <f>SUM(E5:E8)</f>
        <v>4</v>
      </c>
      <c r="F9" s="16">
        <f>SUM(F5:F8)</f>
        <v>5</v>
      </c>
      <c r="G9" s="16">
        <f>SUM(G5:G8)</f>
        <v>4</v>
      </c>
      <c r="H9" s="16">
        <f>SUM(H5:H8)</f>
        <v>4</v>
      </c>
      <c r="I9" s="16">
        <f>SUM(I5:I8)</f>
        <v>36</v>
      </c>
    </row>
    <row r="11" spans="1:9" ht="15" customHeight="1" x14ac:dyDescent="0.2">
      <c r="A11" s="6" t="s">
        <v>4</v>
      </c>
      <c r="B11" s="3" t="s">
        <v>139</v>
      </c>
      <c r="C11" s="3"/>
      <c r="D11" s="3"/>
      <c r="E11" s="3"/>
      <c r="F11" s="3"/>
      <c r="G11" s="3"/>
      <c r="H11" s="3"/>
      <c r="I11" s="3"/>
    </row>
    <row r="12" spans="1:9" ht="61.5" customHeight="1" x14ac:dyDescent="0.2">
      <c r="A12" s="15" t="s">
        <v>16</v>
      </c>
      <c r="B12" s="2" t="s">
        <v>140</v>
      </c>
      <c r="C12" s="2"/>
      <c r="D12" s="2"/>
      <c r="E12" s="2"/>
      <c r="F12" s="2"/>
      <c r="G12" s="2"/>
      <c r="H12" s="2"/>
      <c r="I12" s="2"/>
    </row>
    <row r="13" spans="1:9" ht="48" customHeight="1" x14ac:dyDescent="0.2">
      <c r="A13" s="17" t="s">
        <v>21</v>
      </c>
      <c r="B13" s="2" t="s">
        <v>141</v>
      </c>
      <c r="C13" s="2"/>
      <c r="D13" s="2"/>
      <c r="E13" s="2"/>
      <c r="F13" s="2"/>
      <c r="G13" s="2"/>
      <c r="H13" s="2"/>
      <c r="I13" s="2"/>
    </row>
    <row r="14" spans="1:9" ht="48" customHeight="1" x14ac:dyDescent="0.2">
      <c r="A14" s="18" t="s">
        <v>27</v>
      </c>
      <c r="B14" s="2" t="s">
        <v>142</v>
      </c>
      <c r="C14" s="2"/>
      <c r="D14" s="2"/>
      <c r="E14" s="2"/>
      <c r="F14" s="2"/>
      <c r="G14" s="2"/>
      <c r="H14" s="2"/>
      <c r="I14" s="2"/>
    </row>
    <row r="15" spans="1:9" ht="48" customHeight="1" x14ac:dyDescent="0.2">
      <c r="A15" s="19" t="s">
        <v>32</v>
      </c>
      <c r="B15" s="2" t="s">
        <v>143</v>
      </c>
      <c r="C15" s="2"/>
      <c r="D15" s="2"/>
      <c r="E15" s="2"/>
      <c r="F15" s="2"/>
      <c r="G15" s="2"/>
      <c r="H15" s="2"/>
      <c r="I15" s="2"/>
    </row>
  </sheetData>
  <mergeCells count="5">
    <mergeCell ref="B11:I11"/>
    <mergeCell ref="B12:I12"/>
    <mergeCell ref="B13:I13"/>
    <mergeCell ref="B14:I14"/>
    <mergeCell ref="B15:I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H22"/>
  <sheetViews>
    <sheetView zoomScaleNormal="100" workbookViewId="0">
      <pane xSplit="2" ySplit="4" topLeftCell="C19" activePane="bottomRight" state="frozen"/>
      <selection pane="bottomLeft" activeCell="A5" sqref="A5"/>
      <selection pane="topRight" activeCell="C1" sqref="C1"/>
      <selection pane="bottomRight"/>
    </sheetView>
  </sheetViews>
  <sheetFormatPr defaultColWidth="8.7421875" defaultRowHeight="15" x14ac:dyDescent="0.2"/>
  <cols>
    <col min="1" max="1" width="6.9921875" customWidth="1"/>
    <col min="2" max="2" width="11.97265625" customWidth="1"/>
    <col min="3" max="3" width="25.9609375" customWidth="1"/>
    <col min="4" max="4" width="37.93359375" customWidth="1"/>
    <col min="5" max="5" width="48.0234375" customWidth="1"/>
    <col min="6" max="6" width="57.9765625" customWidth="1"/>
    <col min="7" max="7" width="37.93359375" customWidth="1"/>
    <col min="8" max="8" width="43.98828125" customWidth="1"/>
  </cols>
  <sheetData>
    <row r="1" spans="1:8" ht="18" x14ac:dyDescent="0.2">
      <c r="A1" s="21" t="s">
        <v>144</v>
      </c>
    </row>
    <row r="2" spans="1:8" ht="39.75" customHeight="1" x14ac:dyDescent="0.2">
      <c r="A2" s="1" t="s">
        <v>145</v>
      </c>
      <c r="B2" s="1"/>
      <c r="C2" s="1"/>
      <c r="D2" s="1"/>
      <c r="E2" s="1"/>
      <c r="F2" s="1"/>
      <c r="G2" s="1"/>
      <c r="H2" s="1"/>
    </row>
    <row r="4" spans="1:8" ht="30" customHeight="1" x14ac:dyDescent="0.2">
      <c r="A4" s="6" t="s">
        <v>146</v>
      </c>
      <c r="B4" s="6" t="s">
        <v>147</v>
      </c>
      <c r="C4" s="6" t="s">
        <v>148</v>
      </c>
      <c r="D4" s="6" t="s">
        <v>149</v>
      </c>
      <c r="E4" s="6" t="s">
        <v>150</v>
      </c>
      <c r="F4" s="6" t="s">
        <v>151</v>
      </c>
      <c r="G4" s="6" t="s">
        <v>152</v>
      </c>
      <c r="H4" s="6" t="s">
        <v>153</v>
      </c>
    </row>
    <row r="5" spans="1:8" ht="108" customHeight="1" x14ac:dyDescent="0.2">
      <c r="A5" s="22" t="s">
        <v>154</v>
      </c>
      <c r="B5" s="23" t="s">
        <v>155</v>
      </c>
      <c r="C5" s="23" t="s">
        <v>156</v>
      </c>
      <c r="D5" s="23" t="s">
        <v>157</v>
      </c>
      <c r="E5" s="23" t="s">
        <v>158</v>
      </c>
      <c r="F5" s="23" t="s">
        <v>159</v>
      </c>
      <c r="G5" s="23" t="s">
        <v>160</v>
      </c>
      <c r="H5" s="23" t="s">
        <v>161</v>
      </c>
    </row>
    <row r="6" spans="1:8" ht="54" customHeight="1" x14ac:dyDescent="0.2">
      <c r="A6" s="22" t="s">
        <v>162</v>
      </c>
      <c r="B6" s="23" t="s">
        <v>163</v>
      </c>
      <c r="C6" s="23" t="s">
        <v>164</v>
      </c>
      <c r="D6" s="23" t="s">
        <v>165</v>
      </c>
      <c r="E6" s="23" t="s">
        <v>166</v>
      </c>
      <c r="F6" s="23" t="s">
        <v>167</v>
      </c>
      <c r="G6" s="23" t="s">
        <v>168</v>
      </c>
      <c r="H6" s="23" t="s">
        <v>169</v>
      </c>
    </row>
    <row r="7" spans="1:8" ht="54" customHeight="1" x14ac:dyDescent="0.2">
      <c r="A7" s="22" t="s">
        <v>170</v>
      </c>
      <c r="B7" s="23" t="s">
        <v>171</v>
      </c>
      <c r="C7" s="23" t="s">
        <v>172</v>
      </c>
      <c r="D7" s="23" t="s">
        <v>173</v>
      </c>
      <c r="E7" s="23" t="s">
        <v>174</v>
      </c>
      <c r="F7" s="23" t="s">
        <v>175</v>
      </c>
      <c r="G7" s="23" t="s">
        <v>176</v>
      </c>
      <c r="H7" s="23" t="s">
        <v>177</v>
      </c>
    </row>
    <row r="8" spans="1:8" ht="67.5" customHeight="1" x14ac:dyDescent="0.2">
      <c r="A8" s="22" t="s">
        <v>178</v>
      </c>
      <c r="B8" s="23" t="s">
        <v>179</v>
      </c>
      <c r="C8" s="23" t="s">
        <v>180</v>
      </c>
      <c r="D8" s="23" t="s">
        <v>181</v>
      </c>
      <c r="E8" s="23" t="s">
        <v>182</v>
      </c>
      <c r="F8" s="23" t="s">
        <v>183</v>
      </c>
      <c r="G8" s="23" t="s">
        <v>184</v>
      </c>
      <c r="H8" s="23" t="s">
        <v>185</v>
      </c>
    </row>
    <row r="9" spans="1:8" ht="40.5" customHeight="1" x14ac:dyDescent="0.2">
      <c r="A9" s="22" t="s">
        <v>186</v>
      </c>
      <c r="B9" s="23" t="s">
        <v>187</v>
      </c>
      <c r="C9" s="23" t="s">
        <v>188</v>
      </c>
      <c r="D9" s="23" t="s">
        <v>189</v>
      </c>
      <c r="E9" s="23" t="s">
        <v>190</v>
      </c>
      <c r="F9" s="23" t="s">
        <v>191</v>
      </c>
      <c r="G9" s="23" t="s">
        <v>192</v>
      </c>
      <c r="H9" s="23" t="s">
        <v>193</v>
      </c>
    </row>
    <row r="10" spans="1:8" ht="40.5" customHeight="1" x14ac:dyDescent="0.2">
      <c r="A10" s="22" t="s">
        <v>194</v>
      </c>
      <c r="B10" s="23" t="s">
        <v>195</v>
      </c>
      <c r="C10" s="23" t="s">
        <v>196</v>
      </c>
      <c r="D10" s="23" t="s">
        <v>197</v>
      </c>
      <c r="E10" s="23" t="s">
        <v>198</v>
      </c>
      <c r="F10" s="23" t="s">
        <v>199</v>
      </c>
      <c r="G10" s="23" t="s">
        <v>200</v>
      </c>
      <c r="H10" s="23" t="s">
        <v>201</v>
      </c>
    </row>
    <row r="11" spans="1:8" ht="54" customHeight="1" x14ac:dyDescent="0.2">
      <c r="A11" s="22" t="s">
        <v>202</v>
      </c>
      <c r="B11" s="23" t="s">
        <v>203</v>
      </c>
      <c r="C11" s="23" t="s">
        <v>204</v>
      </c>
      <c r="D11" s="23" t="s">
        <v>205</v>
      </c>
      <c r="E11" s="23" t="s">
        <v>206</v>
      </c>
      <c r="F11" s="23" t="s">
        <v>207</v>
      </c>
      <c r="G11" s="23" t="s">
        <v>208</v>
      </c>
      <c r="H11" s="23" t="s">
        <v>209</v>
      </c>
    </row>
    <row r="12" spans="1:8" ht="67.5" customHeight="1" x14ac:dyDescent="0.2">
      <c r="A12" s="22" t="s">
        <v>210</v>
      </c>
      <c r="B12" s="23" t="s">
        <v>211</v>
      </c>
      <c r="C12" s="23" t="s">
        <v>212</v>
      </c>
      <c r="D12" s="23" t="s">
        <v>213</v>
      </c>
      <c r="E12" s="23" t="s">
        <v>214</v>
      </c>
      <c r="F12" s="23" t="s">
        <v>215</v>
      </c>
      <c r="G12" s="23" t="s">
        <v>216</v>
      </c>
      <c r="H12" s="23" t="s">
        <v>217</v>
      </c>
    </row>
    <row r="13" spans="1:8" ht="40.5" customHeight="1" x14ac:dyDescent="0.2">
      <c r="A13" s="22" t="s">
        <v>218</v>
      </c>
      <c r="B13" s="23" t="s">
        <v>219</v>
      </c>
      <c r="C13" s="23" t="s">
        <v>220</v>
      </c>
      <c r="D13" s="23" t="s">
        <v>221</v>
      </c>
      <c r="E13" s="23" t="s">
        <v>222</v>
      </c>
      <c r="F13" s="23" t="s">
        <v>223</v>
      </c>
      <c r="G13" s="23" t="s">
        <v>224</v>
      </c>
      <c r="H13" s="23" t="s">
        <v>225</v>
      </c>
    </row>
    <row r="14" spans="1:8" ht="54" customHeight="1" x14ac:dyDescent="0.2">
      <c r="A14" s="22" t="s">
        <v>226</v>
      </c>
      <c r="B14" s="23" t="s">
        <v>227</v>
      </c>
      <c r="C14" s="23" t="s">
        <v>228</v>
      </c>
      <c r="D14" s="23" t="s">
        <v>229</v>
      </c>
      <c r="E14" s="23" t="s">
        <v>230</v>
      </c>
      <c r="F14" s="23" t="s">
        <v>231</v>
      </c>
      <c r="G14" s="23" t="s">
        <v>232</v>
      </c>
      <c r="H14" s="23" t="s">
        <v>233</v>
      </c>
    </row>
    <row r="15" spans="1:8" ht="67.5" customHeight="1" x14ac:dyDescent="0.2">
      <c r="A15" s="22" t="s">
        <v>234</v>
      </c>
      <c r="B15" s="23" t="s">
        <v>235</v>
      </c>
      <c r="C15" s="23" t="s">
        <v>236</v>
      </c>
      <c r="D15" s="23" t="s">
        <v>237</v>
      </c>
      <c r="E15" s="23" t="s">
        <v>238</v>
      </c>
      <c r="F15" s="23" t="s">
        <v>239</v>
      </c>
      <c r="G15" s="23" t="s">
        <v>240</v>
      </c>
      <c r="H15" s="23" t="s">
        <v>241</v>
      </c>
    </row>
    <row r="16" spans="1:8" ht="40.5" customHeight="1" x14ac:dyDescent="0.2">
      <c r="A16" s="22" t="s">
        <v>242</v>
      </c>
      <c r="B16" s="23" t="s">
        <v>243</v>
      </c>
      <c r="C16" s="23" t="s">
        <v>244</v>
      </c>
      <c r="D16" s="23" t="s">
        <v>245</v>
      </c>
      <c r="E16" s="23" t="s">
        <v>246</v>
      </c>
      <c r="F16" s="23" t="s">
        <v>247</v>
      </c>
      <c r="G16" s="23" t="s">
        <v>248</v>
      </c>
      <c r="H16" s="23" t="s">
        <v>249</v>
      </c>
    </row>
    <row r="17" spans="1:8" ht="81" customHeight="1" x14ac:dyDescent="0.2">
      <c r="A17" s="22" t="s">
        <v>250</v>
      </c>
      <c r="B17" s="23" t="s">
        <v>251</v>
      </c>
      <c r="C17" s="23" t="s">
        <v>252</v>
      </c>
      <c r="D17" s="23" t="s">
        <v>253</v>
      </c>
      <c r="E17" s="23" t="s">
        <v>254</v>
      </c>
      <c r="F17" s="23" t="s">
        <v>255</v>
      </c>
      <c r="G17" s="23" t="s">
        <v>256</v>
      </c>
      <c r="H17" s="23" t="s">
        <v>257</v>
      </c>
    </row>
    <row r="18" spans="1:8" ht="108" customHeight="1" x14ac:dyDescent="0.2">
      <c r="A18" s="22" t="s">
        <v>258</v>
      </c>
      <c r="B18" s="23" t="s">
        <v>259</v>
      </c>
      <c r="C18" s="23" t="s">
        <v>260</v>
      </c>
      <c r="D18" s="23" t="s">
        <v>261</v>
      </c>
      <c r="E18" s="23" t="s">
        <v>262</v>
      </c>
      <c r="F18" s="23" t="s">
        <v>263</v>
      </c>
      <c r="G18" s="23" t="s">
        <v>264</v>
      </c>
      <c r="H18" s="23" t="s">
        <v>265</v>
      </c>
    </row>
    <row r="19" spans="1:8" ht="54" customHeight="1" x14ac:dyDescent="0.2">
      <c r="A19" s="22" t="s">
        <v>266</v>
      </c>
      <c r="B19" s="23" t="s">
        <v>267</v>
      </c>
      <c r="C19" s="23" t="s">
        <v>268</v>
      </c>
      <c r="D19" s="23" t="s">
        <v>269</v>
      </c>
      <c r="E19" s="23" t="s">
        <v>270</v>
      </c>
      <c r="F19" s="23" t="s">
        <v>271</v>
      </c>
      <c r="G19" s="23" t="s">
        <v>272</v>
      </c>
      <c r="H19" s="23" t="s">
        <v>273</v>
      </c>
    </row>
    <row r="20" spans="1:8" ht="54" customHeight="1" x14ac:dyDescent="0.2">
      <c r="A20" s="22" t="s">
        <v>274</v>
      </c>
      <c r="B20" s="23" t="s">
        <v>275</v>
      </c>
      <c r="C20" s="23" t="s">
        <v>276</v>
      </c>
      <c r="D20" s="23" t="s">
        <v>277</v>
      </c>
      <c r="E20" s="23" t="s">
        <v>278</v>
      </c>
      <c r="F20" s="23" t="s">
        <v>279</v>
      </c>
      <c r="G20" s="23" t="s">
        <v>280</v>
      </c>
      <c r="H20" s="23" t="s">
        <v>281</v>
      </c>
    </row>
    <row r="21" spans="1:8" ht="54" customHeight="1" x14ac:dyDescent="0.2">
      <c r="A21" s="22" t="s">
        <v>282</v>
      </c>
      <c r="B21" s="23" t="s">
        <v>283</v>
      </c>
      <c r="C21" s="23" t="s">
        <v>284</v>
      </c>
      <c r="D21" s="23" t="s">
        <v>285</v>
      </c>
      <c r="E21" s="23" t="s">
        <v>286</v>
      </c>
      <c r="F21" s="23" t="s">
        <v>287</v>
      </c>
      <c r="G21" s="23" t="s">
        <v>288</v>
      </c>
      <c r="H21" s="23" t="s">
        <v>289</v>
      </c>
    </row>
    <row r="22" spans="1:8" ht="54" customHeight="1" x14ac:dyDescent="0.2">
      <c r="A22" s="22" t="s">
        <v>290</v>
      </c>
      <c r="B22" s="23" t="s">
        <v>155</v>
      </c>
      <c r="C22" s="23" t="s">
        <v>291</v>
      </c>
      <c r="D22" s="23" t="s">
        <v>292</v>
      </c>
      <c r="E22" s="23" t="s">
        <v>293</v>
      </c>
      <c r="F22" s="23" t="s">
        <v>294</v>
      </c>
      <c r="G22" s="23" t="s">
        <v>295</v>
      </c>
      <c r="H22" s="23" t="s">
        <v>296</v>
      </c>
    </row>
  </sheetData>
  <autoFilter ref="A4:H22" xr:uid="{00000000-0009-0000-0000-000004000000}"/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Gantt</vt:lpstr>
      <vt:lpstr>Milestones</vt:lpstr>
      <vt:lpstr>Deliverables</vt:lpstr>
      <vt:lpstr>Resource Allocation</vt:lpstr>
      <vt:lpstr>Python Statistical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2026-10-16T19:09:20Z</dcterms:created>
  <dcterms:modified xsi:type="dcterms:W3CDTF">2026-10-23T21:57:40Z</dcterms:modified>
  <dc:language>en-US</dc:language>
</cp:coreProperties>
</file>