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s" sheetId="1" state="visible" r:id="rId3"/>
    <sheet name="Tasks" sheetId="2" state="visible" r:id="rId4"/>
    <sheet name="Role-Week Matrix" sheetId="3" state="visible" r:id="rId5"/>
  </sheets>
  <definedNames>
    <definedName function="false" hidden="true" localSheetId="1" name="_xlnm._FilterDatabase" vbProcedure="false">Tasks!$A$4:$G$40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<sst xmlns="http://schemas.openxmlformats.org/spreadsheetml/2006/main" count="143" uniqueCount="99">
  <si>
    <t xml:space="preserve">Task Assignment &amp; Roles</t>
  </si>
  <si>
    <t xml:space="preserve">Team Member and Role</t>
  </si>
  <si>
    <t xml:space="preserve">Responsibilities</t>
  </si>
  <si>
    <t xml:space="preserve">Number of Tasks</t>
  </si>
  <si>
    <t xml:space="preserve">Hossam - Technical Analytics Lead</t>
  </si>
  <si>
    <t xml:space="preserve">Project proposal; KPI specification and KPIs document; GitHub repository; SQL staging and integrity checks; Python notebook (KPI recalculation and basic charts); software architecture, DFD and technology stack; dashboard Pages 2 (Delivery &amp; Cycle Time) and 5 (Case Impact &amp; Decision Quality); master reconciliation; technical sign-off and final refresh QA.</t>
  </si>
  <si>
    <t xml:space="preserve">Yahia - Data Preparation &amp; Testing Lead</t>
  </si>
  <si>
    <t xml:space="preserve">Raw and Working data layers with profiling; project plan and task assignment; cleaning of the shipments and hospital tables; derived fields and cleaned dataset; Power BI data models and core measures; dashboard Page 4 (Purchase Orders &amp; Inventory); test plan, UAT and bug log; project infographic.</t>
  </si>
  <si>
    <t xml:space="preserve">Ola - Data Quality &amp; Review Lead</t>
  </si>
  <si>
    <t xml:space="preserve">Stakeholder analysis, user stories and use cases; literature review file; data quality rules and mapping sign-off; analytical question map; problem statement and use case diagram; dashboard Page 1 (Executive Overview); findings and recommendations; project presentation.</t>
  </si>
  <si>
    <t xml:space="preserve">Aya - Data Dictionary &amp; Requirements Lead</t>
  </si>
  <si>
    <t xml:space="preserve">Data dictionary; functional and non-functional requirements; risk assessment; before/after reconciliation; wireframes and UI/UX guidelines; ER diagram and logical &amp; physical schema; dashboard Page 3 (Suppliers &amp; Cost); README and execution guide; user manual and final documentation.</t>
  </si>
  <si>
    <t xml:space="preserve">Total</t>
  </si>
  <si>
    <t xml:space="preserve">Task Assignment</t>
  </si>
  <si>
    <t xml:space="preserve">Task ID</t>
  </si>
  <si>
    <t xml:space="preserve">Week</t>
  </si>
  <si>
    <t xml:space="preserve">Task</t>
  </si>
  <si>
    <t xml:space="preserve">Responsible Role</t>
  </si>
  <si>
    <t xml:space="preserve">Start</t>
  </si>
  <si>
    <t xml:space="preserve">End</t>
  </si>
  <si>
    <t xml:space="preserve">Deliverable</t>
  </si>
  <si>
    <t xml:space="preserve">KPI Specification and KPIs Document</t>
  </si>
  <si>
    <t xml:space="preserve">KPI Specification + KPIs Document</t>
  </si>
  <si>
    <t xml:space="preserve">GitHub Repository and Branching Strategy</t>
  </si>
  <si>
    <t xml:space="preserve">Repository + Branching Strategy</t>
  </si>
  <si>
    <t xml:space="preserve">Raw and Working Data Layers with Data Profiling</t>
  </si>
  <si>
    <t xml:space="preserve">Raw/Working Data Layers + Profiling Report</t>
  </si>
  <si>
    <t xml:space="preserve">Project Plan and Task Assignment</t>
  </si>
  <si>
    <t xml:space="preserve">Project Plan + Task Assignment &amp; Roles</t>
  </si>
  <si>
    <t xml:space="preserve">Project Proposal</t>
  </si>
  <si>
    <t xml:space="preserve">Stakeholder Analysis and User Stories &amp; Use Cases</t>
  </si>
  <si>
    <t xml:space="preserve">Stakeholder Analysis + User Stories &amp; Use Cases</t>
  </si>
  <si>
    <t xml:space="preserve">Literature Review File (Lecturer Input)</t>
  </si>
  <si>
    <t xml:space="preserve">Literature Review</t>
  </si>
  <si>
    <t xml:space="preserve">Data Dictionary</t>
  </si>
  <si>
    <t xml:space="preserve">Validated Data Dictionary</t>
  </si>
  <si>
    <t xml:space="preserve">Functional &amp; Non-functional Requirements</t>
  </si>
  <si>
    <t xml:space="preserve">Risk Assessment &amp; Mitigation Plan</t>
  </si>
  <si>
    <t xml:space="preserve">SQL Staging, Duplicate and Key Integrity Checks</t>
  </si>
  <si>
    <t xml:space="preserve">SQL Staging Layer + Integrity Report</t>
  </si>
  <si>
    <t xml:space="preserve">Shipments Table Cleaning</t>
  </si>
  <si>
    <t xml:space="preserve">Clean Shipments Table + Cleaning Log</t>
  </si>
  <si>
    <t xml:space="preserve">Hospital Tables Cleaning</t>
  </si>
  <si>
    <t xml:space="preserve">Clean Hospital Tables + Cleaning Log</t>
  </si>
  <si>
    <t xml:space="preserve">Data Quality Rules and Mapping Sign-off</t>
  </si>
  <si>
    <t xml:space="preserve">Data Quality Rules + Categorical Mapping Sign-off</t>
  </si>
  <si>
    <t xml:space="preserve">Before/After Reconciliation</t>
  </si>
  <si>
    <t xml:space="preserve">Before/After Reconciliation Report</t>
  </si>
  <si>
    <t xml:space="preserve">Python Notebook: KPI Recalculation and Basic Charts</t>
  </si>
  <si>
    <t xml:space="preserve">Python Notebook (pandas, matplotlib)</t>
  </si>
  <si>
    <t xml:space="preserve">Derived Fields and Cleaned Dataset</t>
  </si>
  <si>
    <t xml:space="preserve">Derived Fields + Cleaned Dataset</t>
  </si>
  <si>
    <t xml:space="preserve">Question-to-KPI-to-Chart Map</t>
  </si>
  <si>
    <t xml:space="preserve">Analytical Question Map</t>
  </si>
  <si>
    <t xml:space="preserve">Wireframes &amp; UI/UX Guidelines</t>
  </si>
  <si>
    <t xml:space="preserve">Dashboard UX Specification (Wireframes + Guidelines)</t>
  </si>
  <si>
    <t xml:space="preserve">Software Architecture, DFD and Technology Stack</t>
  </si>
  <si>
    <t xml:space="preserve">Software Architecture + DFD + Technology Stack</t>
  </si>
  <si>
    <t xml:space="preserve">Power BI Data Models (Shipments and Hospitals, Kept Separate) and Core Measures</t>
  </si>
  <si>
    <t xml:space="preserve">Validated Data Models + Core Measures</t>
  </si>
  <si>
    <t xml:space="preserve">Problem Statement and Use Case Diagram</t>
  </si>
  <si>
    <t xml:space="preserve">Problem Statement + Use Case Diagram</t>
  </si>
  <si>
    <t xml:space="preserve">ER Diagram and Logical &amp; Physical Schema</t>
  </si>
  <si>
    <t xml:space="preserve">ER Diagram + Logical &amp; Physical Schema</t>
  </si>
  <si>
    <t xml:space="preserve">Dashboard Page 1: Executive Overview</t>
  </si>
  <si>
    <t xml:space="preserve">Dashboard Page 1</t>
  </si>
  <si>
    <t xml:space="preserve">Dashboard Page 2: Delivery &amp; Cycle Time</t>
  </si>
  <si>
    <t xml:space="preserve">Dashboard Page 2</t>
  </si>
  <si>
    <t xml:space="preserve">Dashboard Page 3: Suppliers &amp; Cost</t>
  </si>
  <si>
    <t xml:space="preserve">Dashboard Page 3</t>
  </si>
  <si>
    <t xml:space="preserve">Dashboard Page 4: Purchase Orders &amp; Inventory</t>
  </si>
  <si>
    <t xml:space="preserve">Dashboard Page 4</t>
  </si>
  <si>
    <t xml:space="preserve">Dashboard Page 5: Case Impact &amp; Decision Quality</t>
  </si>
  <si>
    <t xml:space="preserve">Dashboard Page 5</t>
  </si>
  <si>
    <t xml:space="preserve">Master Reconciliation (SQL, Python, Power BI)</t>
  </si>
  <si>
    <t xml:space="preserve">Master Reconciliation Report</t>
  </si>
  <si>
    <t xml:space="preserve">Test Plan, Functional Testing, UAT and Bug Log</t>
  </si>
  <si>
    <t xml:space="preserve">Test Plan + Dashboard Functional Test + UAT &amp; Bug Log</t>
  </si>
  <si>
    <t xml:space="preserve">Findings and Recommendations</t>
  </si>
  <si>
    <t xml:space="preserve">Findings &amp; Recommendations</t>
  </si>
  <si>
    <t xml:space="preserve">README and Execution Guide</t>
  </si>
  <si>
    <t xml:space="preserve">README + Execution Guide</t>
  </si>
  <si>
    <t xml:space="preserve">Technical Sign-off and Final Refresh QA</t>
  </si>
  <si>
    <t xml:space="preserve">Technical Sign-off Package + Final Refresh QA</t>
  </si>
  <si>
    <t xml:space="preserve">Project Infographic (Single 16:9 Image)</t>
  </si>
  <si>
    <t xml:space="preserve">Project Infographic</t>
  </si>
  <si>
    <t xml:space="preserve">Project Presentation (PPT/PDF)</t>
  </si>
  <si>
    <t xml:space="preserve">Project Presentation</t>
  </si>
  <si>
    <t xml:space="preserve">User Manual and Final Documentation</t>
  </si>
  <si>
    <t xml:space="preserve">User Manual + Final Documentation</t>
  </si>
  <si>
    <t xml:space="preserve">Task Count by Role and Week</t>
  </si>
  <si>
    <t xml:space="preserve">Role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</si>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</sst>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 mmm\ 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</row>
    <row r="5" customFormat="false" ht="61.5" hidden="false" customHeight="true" outlineLevel="0" collapsed="false">
      <c r="A5" s="3" t="s">
        <v>4</v>
      </c>
      <c r="B5" s="4" t="s">
        <v>5</v>
      </c>
      <c r="C5" s="5" t="n">
        <f aca="false">COUNTIF(Tasks!$D$5:$D$40,A5)</f>
        <v>10</v>
      </c>
    </row>
    <row r="6" customFormat="false" ht="61.5" hidden="false" customHeight="true" outlineLevel="0" collapsed="false">
      <c r="A6" s="6" t="s">
        <v>6</v>
      </c>
      <c r="B6" s="4" t="s">
        <v>7</v>
      </c>
      <c r="C6" s="5" t="n">
        <f aca="false">COUNTIF(Tasks!$D$5:$D$40,A6)</f>
        <v>9</v>
      </c>
    </row>
    <row r="7" customFormat="false" ht="61.5" hidden="false" customHeight="true" outlineLevel="0" collapsed="false">
      <c r="A7" s="7" t="s">
        <v>8</v>
      </c>
      <c r="B7" s="4" t="s">
        <v>9</v>
      </c>
      <c r="C7" s="5" t="n">
        <f aca="false">COUNTIF(Tasks!$D$5:$D$40,A7)</f>
        <v>8</v>
      </c>
    </row>
    <row r="8" customFormat="false" ht="61.5" hidden="false" customHeight="true" outlineLevel="0" collapsed="false">
      <c r="A8" s="8" t="s">
        <v>10</v>
      </c>
      <c r="B8" s="4" t="s">
        <v>11</v>
      </c>
      <c r="C8" s="5" t="n">
        <f aca="false">COUNTIF(Tasks!$D$5:$D$40,A8)</f>
        <v>9</v>
      </c>
    </row>
    <row r="9" customFormat="false" ht="15" hidden="false" customHeight="false" outlineLevel="0" collapsed="false">
      <c r="A9" s="9" t="s">
        <v>12</v>
      </c>
      <c r="B9" s="4"/>
      <c r="C9" s="10" t="n">
        <f aca="false">SUM(C5:C8)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62"/>
    <col collapsed="false" customWidth="true" hidden="false" outlineLevel="0" max="4" min="4" style="0" width="46"/>
    <col collapsed="false" customWidth="true" hidden="false" outlineLevel="0" max="6" min="5" style="0" width="13"/>
    <col collapsed="false" customWidth="true" hidden="false" outlineLevel="0" max="7" min="7" style="0" width="56"/>
  </cols>
  <sheetData>
    <row r="1" customFormat="false" ht="17.35" hidden="false" customHeight="false" outlineLevel="0" collapsed="false">
      <c r="A1" s="1" t="s">
        <v>13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customFormat="false" ht="15" hidden="false" customHeight="false" outlineLevel="0" collapsed="false">
      <c r="A5" s="5" t="n">
        <v>1</v>
      </c>
      <c r="B5" s="5" t="n">
        <v>1</v>
      </c>
      <c r="C5" s="4" t="s">
        <v>21</v>
      </c>
      <c r="D5" s="11" t="s">
        <v>4</v>
      </c>
      <c r="E5" s="12" t="n">
        <v>46306</v>
      </c>
      <c r="F5" s="12" t="n">
        <v>46310</v>
      </c>
      <c r="G5" s="4" t="s">
        <v>22</v>
      </c>
    </row>
    <row r="6" customFormat="false" ht="15" hidden="false" customHeight="false" outlineLevel="0" collapsed="false">
      <c r="A6" s="5" t="n">
        <v>2</v>
      </c>
      <c r="B6" s="5" t="n">
        <v>1</v>
      </c>
      <c r="C6" s="4" t="s">
        <v>23</v>
      </c>
      <c r="D6" s="11" t="s">
        <v>4</v>
      </c>
      <c r="E6" s="12" t="n">
        <v>46306</v>
      </c>
      <c r="F6" s="12" t="n">
        <v>46310</v>
      </c>
      <c r="G6" s="4" t="s">
        <v>24</v>
      </c>
    </row>
    <row r="7" customFormat="false" ht="15" hidden="false" customHeight="false" outlineLevel="0" collapsed="false">
      <c r="A7" s="5" t="n">
        <v>3</v>
      </c>
      <c r="B7" s="5" t="n">
        <v>1</v>
      </c>
      <c r="C7" s="4" t="s">
        <v>25</v>
      </c>
      <c r="D7" s="13" t="s">
        <v>6</v>
      </c>
      <c r="E7" s="12" t="n">
        <v>46306</v>
      </c>
      <c r="F7" s="12" t="n">
        <v>46310</v>
      </c>
      <c r="G7" s="4" t="s">
        <v>26</v>
      </c>
    </row>
    <row r="8" customFormat="false" ht="15" hidden="false" customHeight="false" outlineLevel="0" collapsed="false">
      <c r="A8" s="5" t="n">
        <v>4</v>
      </c>
      <c r="B8" s="5" t="n">
        <v>1</v>
      </c>
      <c r="C8" s="4" t="s">
        <v>27</v>
      </c>
      <c r="D8" s="13" t="s">
        <v>6</v>
      </c>
      <c r="E8" s="12" t="n">
        <v>46306</v>
      </c>
      <c r="F8" s="12" t="n">
        <v>46310</v>
      </c>
      <c r="G8" s="4" t="s">
        <v>28</v>
      </c>
    </row>
    <row r="9" customFormat="false" ht="15" hidden="false" customHeight="false" outlineLevel="0" collapsed="false">
      <c r="A9" s="5" t="n">
        <v>5</v>
      </c>
      <c r="B9" s="5" t="n">
        <v>1</v>
      </c>
      <c r="C9" s="4" t="s">
        <v>29</v>
      </c>
      <c r="D9" s="11" t="s">
        <v>4</v>
      </c>
      <c r="E9" s="12" t="n">
        <v>46306</v>
      </c>
      <c r="F9" s="12" t="n">
        <v>46310</v>
      </c>
      <c r="G9" s="4" t="s">
        <v>29</v>
      </c>
    </row>
    <row r="10" customFormat="false" ht="15" hidden="false" customHeight="false" outlineLevel="0" collapsed="false">
      <c r="A10" s="5" t="n">
        <v>6</v>
      </c>
      <c r="B10" s="5" t="n">
        <v>1</v>
      </c>
      <c r="C10" s="4" t="s">
        <v>30</v>
      </c>
      <c r="D10" s="14" t="s">
        <v>8</v>
      </c>
      <c r="E10" s="12" t="n">
        <v>46306</v>
      </c>
      <c r="F10" s="12" t="n">
        <v>46310</v>
      </c>
      <c r="G10" s="4" t="s">
        <v>31</v>
      </c>
    </row>
    <row r="11" customFormat="false" ht="15" hidden="false" customHeight="false" outlineLevel="0" collapsed="false">
      <c r="A11" s="5" t="n">
        <v>7</v>
      </c>
      <c r="B11" s="5" t="n">
        <v>1</v>
      </c>
      <c r="C11" s="4" t="s">
        <v>32</v>
      </c>
      <c r="D11" s="14" t="s">
        <v>8</v>
      </c>
      <c r="E11" s="12" t="n">
        <v>46306</v>
      </c>
      <c r="F11" s="12" t="n">
        <v>46310</v>
      </c>
      <c r="G11" s="4" t="s">
        <v>33</v>
      </c>
    </row>
    <row r="12" customFormat="false" ht="15" hidden="false" customHeight="false" outlineLevel="0" collapsed="false">
      <c r="A12" s="5" t="n">
        <v>8</v>
      </c>
      <c r="B12" s="5" t="n">
        <v>1</v>
      </c>
      <c r="C12" s="4" t="s">
        <v>34</v>
      </c>
      <c r="D12" s="15" t="s">
        <v>10</v>
      </c>
      <c r="E12" s="12" t="n">
        <v>46306</v>
      </c>
      <c r="F12" s="12" t="n">
        <v>46310</v>
      </c>
      <c r="G12" s="4" t="s">
        <v>35</v>
      </c>
    </row>
    <row r="13" customFormat="false" ht="15" hidden="false" customHeight="false" outlineLevel="0" collapsed="false">
      <c r="A13" s="5" t="n">
        <v>9</v>
      </c>
      <c r="B13" s="5" t="n">
        <v>1</v>
      </c>
      <c r="C13" s="4" t="s">
        <v>36</v>
      </c>
      <c r="D13" s="15" t="s">
        <v>10</v>
      </c>
      <c r="E13" s="12" t="n">
        <v>46306</v>
      </c>
      <c r="F13" s="12" t="n">
        <v>46310</v>
      </c>
      <c r="G13" s="4" t="s">
        <v>36</v>
      </c>
    </row>
    <row r="14" customFormat="false" ht="15" hidden="false" customHeight="false" outlineLevel="0" collapsed="false">
      <c r="A14" s="5" t="n">
        <v>10</v>
      </c>
      <c r="B14" s="5" t="n">
        <v>1</v>
      </c>
      <c r="C14" s="4" t="s">
        <v>37</v>
      </c>
      <c r="D14" s="15" t="s">
        <v>10</v>
      </c>
      <c r="E14" s="12" t="n">
        <v>46306</v>
      </c>
      <c r="F14" s="12" t="n">
        <v>46310</v>
      </c>
      <c r="G14" s="4" t="s">
        <v>37</v>
      </c>
    </row>
    <row r="15" customFormat="false" ht="15" hidden="false" customHeight="false" outlineLevel="0" collapsed="false">
      <c r="A15" s="5" t="n">
        <v>11</v>
      </c>
      <c r="B15" s="5" t="n">
        <v>2</v>
      </c>
      <c r="C15" s="4" t="s">
        <v>38</v>
      </c>
      <c r="D15" s="11" t="s">
        <v>4</v>
      </c>
      <c r="E15" s="12" t="n">
        <v>46313</v>
      </c>
      <c r="F15" s="12" t="n">
        <v>46317</v>
      </c>
      <c r="G15" s="4" t="s">
        <v>39</v>
      </c>
    </row>
    <row r="16" customFormat="false" ht="15" hidden="false" customHeight="false" outlineLevel="0" collapsed="false">
      <c r="A16" s="5" t="n">
        <v>12</v>
      </c>
      <c r="B16" s="5" t="n">
        <v>2</v>
      </c>
      <c r="C16" s="4" t="s">
        <v>40</v>
      </c>
      <c r="D16" s="13" t="s">
        <v>6</v>
      </c>
      <c r="E16" s="12" t="n">
        <v>46313</v>
      </c>
      <c r="F16" s="12" t="n">
        <v>46317</v>
      </c>
      <c r="G16" s="4" t="s">
        <v>41</v>
      </c>
    </row>
    <row r="17" customFormat="false" ht="15" hidden="false" customHeight="false" outlineLevel="0" collapsed="false">
      <c r="A17" s="5" t="n">
        <v>13</v>
      </c>
      <c r="B17" s="5" t="n">
        <v>2</v>
      </c>
      <c r="C17" s="4" t="s">
        <v>42</v>
      </c>
      <c r="D17" s="13" t="s">
        <v>6</v>
      </c>
      <c r="E17" s="12" t="n">
        <v>46313</v>
      </c>
      <c r="F17" s="12" t="n">
        <v>46317</v>
      </c>
      <c r="G17" s="4" t="s">
        <v>43</v>
      </c>
    </row>
    <row r="18" customFormat="false" ht="15" hidden="false" customHeight="false" outlineLevel="0" collapsed="false">
      <c r="A18" s="5" t="n">
        <v>14</v>
      </c>
      <c r="B18" s="5" t="n">
        <v>2</v>
      </c>
      <c r="C18" s="4" t="s">
        <v>44</v>
      </c>
      <c r="D18" s="14" t="s">
        <v>8</v>
      </c>
      <c r="E18" s="12" t="n">
        <v>46313</v>
      </c>
      <c r="F18" s="12" t="n">
        <v>46317</v>
      </c>
      <c r="G18" s="4" t="s">
        <v>45</v>
      </c>
    </row>
    <row r="19" customFormat="false" ht="15" hidden="false" customHeight="false" outlineLevel="0" collapsed="false">
      <c r="A19" s="5" t="n">
        <v>15</v>
      </c>
      <c r="B19" s="5" t="n">
        <v>2</v>
      </c>
      <c r="C19" s="4" t="s">
        <v>46</v>
      </c>
      <c r="D19" s="15" t="s">
        <v>10</v>
      </c>
      <c r="E19" s="12" t="n">
        <v>46313</v>
      </c>
      <c r="F19" s="12" t="n">
        <v>46317</v>
      </c>
      <c r="G19" s="4" t="s">
        <v>47</v>
      </c>
    </row>
    <row r="20" customFormat="false" ht="15" hidden="false" customHeight="false" outlineLevel="0" collapsed="false">
      <c r="A20" s="5" t="n">
        <v>16</v>
      </c>
      <c r="B20" s="5" t="n">
        <v>3</v>
      </c>
      <c r="C20" s="4" t="s">
        <v>48</v>
      </c>
      <c r="D20" s="11" t="s">
        <v>4</v>
      </c>
      <c r="E20" s="12" t="n">
        <v>46320</v>
      </c>
      <c r="F20" s="12" t="n">
        <v>46324</v>
      </c>
      <c r="G20" s="4" t="s">
        <v>49</v>
      </c>
    </row>
    <row r="21" customFormat="false" ht="15" hidden="false" customHeight="false" outlineLevel="0" collapsed="false">
      <c r="A21" s="5" t="n">
        <v>17</v>
      </c>
      <c r="B21" s="5" t="n">
        <v>3</v>
      </c>
      <c r="C21" s="4" t="s">
        <v>50</v>
      </c>
      <c r="D21" s="13" t="s">
        <v>6</v>
      </c>
      <c r="E21" s="12" t="n">
        <v>46320</v>
      </c>
      <c r="F21" s="12" t="n">
        <v>46324</v>
      </c>
      <c r="G21" s="4" t="s">
        <v>51</v>
      </c>
    </row>
    <row r="22" customFormat="false" ht="15" hidden="false" customHeight="false" outlineLevel="0" collapsed="false">
      <c r="A22" s="5" t="n">
        <v>18</v>
      </c>
      <c r="B22" s="5" t="n">
        <v>3</v>
      </c>
      <c r="C22" s="4" t="s">
        <v>52</v>
      </c>
      <c r="D22" s="14" t="s">
        <v>8</v>
      </c>
      <c r="E22" s="12" t="n">
        <v>46320</v>
      </c>
      <c r="F22" s="12" t="n">
        <v>46324</v>
      </c>
      <c r="G22" s="4" t="s">
        <v>53</v>
      </c>
    </row>
    <row r="23" customFormat="false" ht="15" hidden="false" customHeight="false" outlineLevel="0" collapsed="false">
      <c r="A23" s="5" t="n">
        <v>19</v>
      </c>
      <c r="B23" s="5" t="n">
        <v>3</v>
      </c>
      <c r="C23" s="4" t="s">
        <v>54</v>
      </c>
      <c r="D23" s="15" t="s">
        <v>10</v>
      </c>
      <c r="E23" s="12" t="n">
        <v>46320</v>
      </c>
      <c r="F23" s="12" t="n">
        <v>46324</v>
      </c>
      <c r="G23" s="4" t="s">
        <v>55</v>
      </c>
    </row>
    <row r="24" customFormat="false" ht="15" hidden="false" customHeight="false" outlineLevel="0" collapsed="false">
      <c r="A24" s="5" t="n">
        <v>20</v>
      </c>
      <c r="B24" s="5" t="n">
        <v>4</v>
      </c>
      <c r="C24" s="4" t="s">
        <v>56</v>
      </c>
      <c r="D24" s="11" t="s">
        <v>4</v>
      </c>
      <c r="E24" s="12" t="n">
        <v>46327</v>
      </c>
      <c r="F24" s="12" t="n">
        <v>46331</v>
      </c>
      <c r="G24" s="4" t="s">
        <v>57</v>
      </c>
    </row>
    <row r="25" customFormat="false" ht="23.85" hidden="false" customHeight="false" outlineLevel="0" collapsed="false">
      <c r="A25" s="5" t="n">
        <v>21</v>
      </c>
      <c r="B25" s="5" t="n">
        <v>4</v>
      </c>
      <c r="C25" s="4" t="s">
        <v>58</v>
      </c>
      <c r="D25" s="13" t="s">
        <v>6</v>
      </c>
      <c r="E25" s="12" t="n">
        <v>46327</v>
      </c>
      <c r="F25" s="12" t="n">
        <v>46331</v>
      </c>
      <c r="G25" s="4" t="s">
        <v>59</v>
      </c>
    </row>
    <row r="26" customFormat="false" ht="15" hidden="false" customHeight="false" outlineLevel="0" collapsed="false">
      <c r="A26" s="5" t="n">
        <v>22</v>
      </c>
      <c r="B26" s="5" t="n">
        <v>4</v>
      </c>
      <c r="C26" s="4" t="s">
        <v>60</v>
      </c>
      <c r="D26" s="14" t="s">
        <v>8</v>
      </c>
      <c r="E26" s="12" t="n">
        <v>46327</v>
      </c>
      <c r="F26" s="12" t="n">
        <v>46331</v>
      </c>
      <c r="G26" s="4" t="s">
        <v>61</v>
      </c>
    </row>
    <row r="27" customFormat="false" ht="15" hidden="false" customHeight="false" outlineLevel="0" collapsed="false">
      <c r="A27" s="5" t="n">
        <v>23</v>
      </c>
      <c r="B27" s="5" t="n">
        <v>4</v>
      </c>
      <c r="C27" s="4" t="s">
        <v>62</v>
      </c>
      <c r="D27" s="15" t="s">
        <v>10</v>
      </c>
      <c r="E27" s="12" t="n">
        <v>46327</v>
      </c>
      <c r="F27" s="12" t="n">
        <v>46331</v>
      </c>
      <c r="G27" s="4" t="s">
        <v>63</v>
      </c>
    </row>
    <row r="28" customFormat="false" ht="15" hidden="false" customHeight="false" outlineLevel="0" collapsed="false">
      <c r="A28" s="5" t="n">
        <v>24</v>
      </c>
      <c r="B28" s="5" t="n">
        <v>5</v>
      </c>
      <c r="C28" s="4" t="s">
        <v>64</v>
      </c>
      <c r="D28" s="14" t="s">
        <v>8</v>
      </c>
      <c r="E28" s="12" t="n">
        <v>46334</v>
      </c>
      <c r="F28" s="12" t="n">
        <v>46338</v>
      </c>
      <c r="G28" s="4" t="s">
        <v>65</v>
      </c>
    </row>
    <row r="29" customFormat="false" ht="15" hidden="false" customHeight="false" outlineLevel="0" collapsed="false">
      <c r="A29" s="5" t="n">
        <v>25</v>
      </c>
      <c r="B29" s="5" t="n">
        <v>5</v>
      </c>
      <c r="C29" s="4" t="s">
        <v>66</v>
      </c>
      <c r="D29" s="11" t="s">
        <v>4</v>
      </c>
      <c r="E29" s="12" t="n">
        <v>46334</v>
      </c>
      <c r="F29" s="12" t="n">
        <v>46338</v>
      </c>
      <c r="G29" s="4" t="s">
        <v>67</v>
      </c>
    </row>
    <row r="30" customFormat="false" ht="15" hidden="false" customHeight="false" outlineLevel="0" collapsed="false">
      <c r="A30" s="5" t="n">
        <v>26</v>
      </c>
      <c r="B30" s="5" t="n">
        <v>5</v>
      </c>
      <c r="C30" s="4" t="s">
        <v>68</v>
      </c>
      <c r="D30" s="15" t="s">
        <v>10</v>
      </c>
      <c r="E30" s="12" t="n">
        <v>46334</v>
      </c>
      <c r="F30" s="12" t="n">
        <v>46338</v>
      </c>
      <c r="G30" s="4" t="s">
        <v>69</v>
      </c>
    </row>
    <row r="31" customFormat="false" ht="15" hidden="false" customHeight="false" outlineLevel="0" collapsed="false">
      <c r="A31" s="5" t="n">
        <v>27</v>
      </c>
      <c r="B31" s="5" t="n">
        <v>5</v>
      </c>
      <c r="C31" s="4" t="s">
        <v>70</v>
      </c>
      <c r="D31" s="13" t="s">
        <v>6</v>
      </c>
      <c r="E31" s="12" t="n">
        <v>46334</v>
      </c>
      <c r="F31" s="12" t="n">
        <v>46338</v>
      </c>
      <c r="G31" s="4" t="s">
        <v>71</v>
      </c>
    </row>
    <row r="32" customFormat="false" ht="15" hidden="false" customHeight="false" outlineLevel="0" collapsed="false">
      <c r="A32" s="5" t="n">
        <v>28</v>
      </c>
      <c r="B32" s="5" t="n">
        <v>5</v>
      </c>
      <c r="C32" s="4" t="s">
        <v>72</v>
      </c>
      <c r="D32" s="11" t="s">
        <v>4</v>
      </c>
      <c r="E32" s="12" t="n">
        <v>46334</v>
      </c>
      <c r="F32" s="12" t="n">
        <v>46338</v>
      </c>
      <c r="G32" s="4" t="s">
        <v>73</v>
      </c>
    </row>
    <row r="33" customFormat="false" ht="15" hidden="false" customHeight="false" outlineLevel="0" collapsed="false">
      <c r="A33" s="5" t="n">
        <v>29</v>
      </c>
      <c r="B33" s="5" t="n">
        <v>6</v>
      </c>
      <c r="C33" s="4" t="s">
        <v>74</v>
      </c>
      <c r="D33" s="11" t="s">
        <v>4</v>
      </c>
      <c r="E33" s="12" t="n">
        <v>46341</v>
      </c>
      <c r="F33" s="12" t="n">
        <v>46345</v>
      </c>
      <c r="G33" s="4" t="s">
        <v>75</v>
      </c>
    </row>
    <row r="34" customFormat="false" ht="15" hidden="false" customHeight="false" outlineLevel="0" collapsed="false">
      <c r="A34" s="5" t="n">
        <v>30</v>
      </c>
      <c r="B34" s="5" t="n">
        <v>6</v>
      </c>
      <c r="C34" s="4" t="s">
        <v>76</v>
      </c>
      <c r="D34" s="13" t="s">
        <v>6</v>
      </c>
      <c r="E34" s="12" t="n">
        <v>46341</v>
      </c>
      <c r="F34" s="12" t="n">
        <v>46345</v>
      </c>
      <c r="G34" s="4" t="s">
        <v>77</v>
      </c>
    </row>
    <row r="35" customFormat="false" ht="15" hidden="false" customHeight="false" outlineLevel="0" collapsed="false">
      <c r="A35" s="5" t="n">
        <v>31</v>
      </c>
      <c r="B35" s="5" t="n">
        <v>6</v>
      </c>
      <c r="C35" s="4" t="s">
        <v>78</v>
      </c>
      <c r="D35" s="14" t="s">
        <v>8</v>
      </c>
      <c r="E35" s="12" t="n">
        <v>46341</v>
      </c>
      <c r="F35" s="12" t="n">
        <v>46345</v>
      </c>
      <c r="G35" s="4" t="s">
        <v>79</v>
      </c>
    </row>
    <row r="36" customFormat="false" ht="15" hidden="false" customHeight="false" outlineLevel="0" collapsed="false">
      <c r="A36" s="5" t="n">
        <v>32</v>
      </c>
      <c r="B36" s="5" t="n">
        <v>6</v>
      </c>
      <c r="C36" s="4" t="s">
        <v>80</v>
      </c>
      <c r="D36" s="15" t="s">
        <v>10</v>
      </c>
      <c r="E36" s="12" t="n">
        <v>46341</v>
      </c>
      <c r="F36" s="12" t="n">
        <v>46345</v>
      </c>
      <c r="G36" s="4" t="s">
        <v>81</v>
      </c>
    </row>
    <row r="37" customFormat="false" ht="15" hidden="false" customHeight="false" outlineLevel="0" collapsed="false">
      <c r="A37" s="5" t="n">
        <v>33</v>
      </c>
      <c r="B37" s="5" t="n">
        <v>7</v>
      </c>
      <c r="C37" s="4" t="s">
        <v>82</v>
      </c>
      <c r="D37" s="11" t="s">
        <v>4</v>
      </c>
      <c r="E37" s="12" t="n">
        <v>46348</v>
      </c>
      <c r="F37" s="12" t="n">
        <v>46352</v>
      </c>
      <c r="G37" s="4" t="s">
        <v>83</v>
      </c>
    </row>
    <row r="38" customFormat="false" ht="15" hidden="false" customHeight="false" outlineLevel="0" collapsed="false">
      <c r="A38" s="5" t="n">
        <v>34</v>
      </c>
      <c r="B38" s="5" t="n">
        <v>7</v>
      </c>
      <c r="C38" s="4" t="s">
        <v>84</v>
      </c>
      <c r="D38" s="13" t="s">
        <v>6</v>
      </c>
      <c r="E38" s="12" t="n">
        <v>46348</v>
      </c>
      <c r="F38" s="12" t="n">
        <v>46352</v>
      </c>
      <c r="G38" s="4" t="s">
        <v>85</v>
      </c>
    </row>
    <row r="39" customFormat="false" ht="15" hidden="false" customHeight="false" outlineLevel="0" collapsed="false">
      <c r="A39" s="5" t="n">
        <v>35</v>
      </c>
      <c r="B39" s="5" t="n">
        <v>7</v>
      </c>
      <c r="C39" s="4" t="s">
        <v>86</v>
      </c>
      <c r="D39" s="14" t="s">
        <v>8</v>
      </c>
      <c r="E39" s="12" t="n">
        <v>46348</v>
      </c>
      <c r="F39" s="12" t="n">
        <v>46352</v>
      </c>
      <c r="G39" s="4" t="s">
        <v>87</v>
      </c>
    </row>
    <row r="40" customFormat="false" ht="15" hidden="false" customHeight="false" outlineLevel="0" collapsed="false">
      <c r="A40" s="5" t="n">
        <v>36</v>
      </c>
      <c r="B40" s="5" t="n">
        <v>7</v>
      </c>
      <c r="C40" s="4" t="s">
        <v>88</v>
      </c>
      <c r="D40" s="15" t="s">
        <v>10</v>
      </c>
      <c r="E40" s="12" t="n">
        <v>46348</v>
      </c>
      <c r="F40" s="12" t="n">
        <v>46352</v>
      </c>
      <c r="G40" s="4" t="s">
        <v>89</v>
      </c>
    </row>
  </sheetData>
  <autoFilter ref="A4:G4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0"/>
  </cols>
  <sheetData>
    <row r="1" customFormat="false" ht="17.35" hidden="false" customHeight="false" outlineLevel="0" collapsed="false">
      <c r="A1" s="1" t="s">
        <v>90</v>
      </c>
    </row>
    <row r="4" customFormat="false" ht="15" hidden="false" customHeight="false" outlineLevel="0" collapsed="false">
      <c r="A4" s="2" t="s">
        <v>91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12</v>
      </c>
    </row>
    <row r="5" customFormat="false" ht="15" hidden="false" customHeight="false" outlineLevel="0" collapsed="false">
      <c r="A5" s="3" t="s">
        <v>4</v>
      </c>
      <c r="B5" s="5" t="n">
        <f aca="false">COUNTIFS(Tasks!$D$5:$D$40,$A5,Tasks!$B$5:$B$40,1)</f>
        <v>3</v>
      </c>
      <c r="C5" s="5" t="n">
        <f aca="false">COUNTIFS(Tasks!$D$5:$D$40,$A5,Tasks!$B$5:$B$40,2)</f>
        <v>1</v>
      </c>
      <c r="D5" s="5" t="n">
        <f aca="false">COUNTIFS(Tasks!$D$5:$D$40,$A5,Tasks!$B$5:$B$40,3)</f>
        <v>1</v>
      </c>
      <c r="E5" s="5" t="n">
        <f aca="false">COUNTIFS(Tasks!$D$5:$D$40,$A5,Tasks!$B$5:$B$40,4)</f>
        <v>1</v>
      </c>
      <c r="F5" s="5" t="n">
        <f aca="false">COUNTIFS(Tasks!$D$5:$D$40,$A5,Tasks!$B$5:$B$40,5)</f>
        <v>2</v>
      </c>
      <c r="G5" s="5" t="n">
        <f aca="false">COUNTIFS(Tasks!$D$5:$D$40,$A5,Tasks!$B$5:$B$40,6)</f>
        <v>1</v>
      </c>
      <c r="H5" s="5" t="n">
        <f aca="false">COUNTIFS(Tasks!$D$5:$D$40,$A5,Tasks!$B$5:$B$40,7)</f>
        <v>1</v>
      </c>
      <c r="I5" s="10" t="n">
        <f aca="false">SUM(B5:H5)</f>
        <v>10</v>
      </c>
    </row>
    <row r="6" customFormat="false" ht="15" hidden="false" customHeight="false" outlineLevel="0" collapsed="false">
      <c r="A6" s="6" t="s">
        <v>6</v>
      </c>
      <c r="B6" s="5" t="n">
        <f aca="false">COUNTIFS(Tasks!$D$5:$D$40,$A6,Tasks!$B$5:$B$40,1)</f>
        <v>2</v>
      </c>
      <c r="C6" s="5" t="n">
        <f aca="false">COUNTIFS(Tasks!$D$5:$D$40,$A6,Tasks!$B$5:$B$40,2)</f>
        <v>2</v>
      </c>
      <c r="D6" s="5" t="n">
        <f aca="false">COUNTIFS(Tasks!$D$5:$D$40,$A6,Tasks!$B$5:$B$40,3)</f>
        <v>1</v>
      </c>
      <c r="E6" s="5" t="n">
        <f aca="false">COUNTIFS(Tasks!$D$5:$D$40,$A6,Tasks!$B$5:$B$40,4)</f>
        <v>1</v>
      </c>
      <c r="F6" s="5" t="n">
        <f aca="false">COUNTIFS(Tasks!$D$5:$D$40,$A6,Tasks!$B$5:$B$40,5)</f>
        <v>1</v>
      </c>
      <c r="G6" s="5" t="n">
        <f aca="false">COUNTIFS(Tasks!$D$5:$D$40,$A6,Tasks!$B$5:$B$40,6)</f>
        <v>1</v>
      </c>
      <c r="H6" s="5" t="n">
        <f aca="false">COUNTIFS(Tasks!$D$5:$D$40,$A6,Tasks!$B$5:$B$40,7)</f>
        <v>1</v>
      </c>
      <c r="I6" s="10" t="n">
        <f aca="false">SUM(B6:H6)</f>
        <v>9</v>
      </c>
    </row>
    <row r="7" customFormat="false" ht="15" hidden="false" customHeight="false" outlineLevel="0" collapsed="false">
      <c r="A7" s="7" t="s">
        <v>8</v>
      </c>
      <c r="B7" s="5" t="n">
        <f aca="false">COUNTIFS(Tasks!$D$5:$D$40,$A7,Tasks!$B$5:$B$40,1)</f>
        <v>2</v>
      </c>
      <c r="C7" s="5" t="n">
        <f aca="false">COUNTIFS(Tasks!$D$5:$D$40,$A7,Tasks!$B$5:$B$40,2)</f>
        <v>1</v>
      </c>
      <c r="D7" s="5" t="n">
        <f aca="false">COUNTIFS(Tasks!$D$5:$D$40,$A7,Tasks!$B$5:$B$40,3)</f>
        <v>1</v>
      </c>
      <c r="E7" s="5" t="n">
        <f aca="false">COUNTIFS(Tasks!$D$5:$D$40,$A7,Tasks!$B$5:$B$40,4)</f>
        <v>1</v>
      </c>
      <c r="F7" s="5" t="n">
        <f aca="false">COUNTIFS(Tasks!$D$5:$D$40,$A7,Tasks!$B$5:$B$40,5)</f>
        <v>1</v>
      </c>
      <c r="G7" s="5" t="n">
        <f aca="false">COUNTIFS(Tasks!$D$5:$D$40,$A7,Tasks!$B$5:$B$40,6)</f>
        <v>1</v>
      </c>
      <c r="H7" s="5" t="n">
        <f aca="false">COUNTIFS(Tasks!$D$5:$D$40,$A7,Tasks!$B$5:$B$40,7)</f>
        <v>1</v>
      </c>
      <c r="I7" s="10" t="n">
        <f aca="false">SUM(B7:H7)</f>
        <v>8</v>
      </c>
    </row>
    <row r="8" customFormat="false" ht="15" hidden="false" customHeight="false" outlineLevel="0" collapsed="false">
      <c r="A8" s="8" t="s">
        <v>10</v>
      </c>
      <c r="B8" s="5" t="n">
        <f aca="false">COUNTIFS(Tasks!$D$5:$D$40,$A8,Tasks!$B$5:$B$40,1)</f>
        <v>3</v>
      </c>
      <c r="C8" s="5" t="n">
        <f aca="false">COUNTIFS(Tasks!$D$5:$D$40,$A8,Tasks!$B$5:$B$40,2)</f>
        <v>1</v>
      </c>
      <c r="D8" s="5" t="n">
        <f aca="false">COUNTIFS(Tasks!$D$5:$D$40,$A8,Tasks!$B$5:$B$40,3)</f>
        <v>1</v>
      </c>
      <c r="E8" s="5" t="n">
        <f aca="false">COUNTIFS(Tasks!$D$5:$D$40,$A8,Tasks!$B$5:$B$40,4)</f>
        <v>1</v>
      </c>
      <c r="F8" s="5" t="n">
        <f aca="false">COUNTIFS(Tasks!$D$5:$D$40,$A8,Tasks!$B$5:$B$40,5)</f>
        <v>1</v>
      </c>
      <c r="G8" s="5" t="n">
        <f aca="false">COUNTIFS(Tasks!$D$5:$D$40,$A8,Tasks!$B$5:$B$40,6)</f>
        <v>1</v>
      </c>
      <c r="H8" s="5" t="n">
        <f aca="false">COUNTIFS(Tasks!$D$5:$D$40,$A8,Tasks!$B$5:$B$40,7)</f>
        <v>1</v>
      </c>
      <c r="I8" s="10" t="n">
        <f aca="false">SUM(B8:H8)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2026-10-16T19:09:20Z</dcterms:created>
  <dc:creator>openpyxl</dc:creator>
  <dc:description/>
  <dc:language>en-US</dc:language>
  <cp:lastModifiedBy/>
  <dcterms:modified xsi:type="dcterms:W3CDTF">2026-10-16T19:09:20Z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