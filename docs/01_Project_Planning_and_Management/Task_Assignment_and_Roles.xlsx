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xr:revisionPtr revIDLastSave="0" documentId="8_{7EF5BFFF-CD9B-934F-9EA0-F810E6D91875}" xr6:coauthVersionLast="47" xr6:coauthVersionMax="47" xr10:uidLastSave="{00000000-0000-0000-0000-000000000000}"/>
  <bookViews>
    <workbookView xWindow="0" yWindow="0" windowWidth="16384" windowHeight="8192" tabRatio="500" activeTab="3" xr2:uid="{00000000-000D-0000-FFFF-FFFF00000000}"/>
  </bookViews>
  <sheets>
    <sheet name="Roles" sheetId="1" r:id="rId1"/>
    <sheet name="Tasks" sheetId="2" r:id="rId2"/>
    <sheet name="Role-Week Matrix" sheetId="3" r:id="rId3"/>
    <sheet name="Project Summary" sheetId="4" r:id="rId4"/>
  </sheets>
  <definedNames>
    <definedName name="_xlnm._FilterDatabase" localSheetId="1" hidden="1">Tasks!$A$4:$G$40</definedName>
  </definedNames>
  <calcPr calcId="191028"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0" i="4" l="1"/>
  <c r="A20" i="4"/>
  <c r="B19" i="4"/>
  <c r="A19" i="4"/>
  <c r="B18" i="4"/>
  <c r="A18" i="4"/>
  <c r="B17" i="4"/>
  <c r="A17" i="4"/>
  <c r="B8" i="3"/>
  <c r="C8" i="3"/>
  <c r="D8" i="3"/>
  <c r="E8" i="3"/>
  <c r="F8" i="3"/>
  <c r="G8" i="3"/>
  <c r="H8" i="3"/>
  <c r="I8" i="3"/>
  <c r="B7" i="3"/>
  <c r="C7" i="3"/>
  <c r="D7" i="3"/>
  <c r="E7" i="3"/>
  <c r="F7" i="3"/>
  <c r="G7" i="3"/>
  <c r="H7" i="3"/>
  <c r="I7" i="3"/>
  <c r="B6" i="3"/>
  <c r="C6" i="3"/>
  <c r="D6" i="3"/>
  <c r="E6" i="3"/>
  <c r="F6" i="3"/>
  <c r="G6" i="3"/>
  <c r="H6" i="3"/>
  <c r="I6" i="3"/>
  <c r="B5" i="3"/>
  <c r="C5" i="3"/>
  <c r="D5" i="3"/>
  <c r="E5" i="3"/>
  <c r="F5" i="3"/>
  <c r="G5" i="3"/>
  <c r="H5" i="3"/>
  <c r="I5" i="3"/>
  <c r="C5" i="1"/>
  <c r="C6" i="1"/>
  <c r="C7" i="1"/>
  <c r="C8" i="1"/>
  <c r="C9" i="1"/>
</calcChain>
</file>

<file path=xl/sharedStrings.xml><?xml version="1.0" encoding="utf-8"?>
<sst xmlns="http://schemas.openxmlformats.org/spreadsheetml/2006/main" count="165" uniqueCount="119">
  <si>
    <t>Task Assignment &amp; Roles</t>
  </si>
  <si>
    <t>Team Member and Role</t>
  </si>
  <si>
    <t>Responsibilities</t>
  </si>
  <si>
    <t>Number of Tasks</t>
  </si>
  <si>
    <t>Hossam - Technical Analytics Lead</t>
  </si>
  <si>
    <t>Project proposal; project plan and task assignment; KPI specification and KPIs document; GitHub repository; SQL staging and integrity checks; Python notebook (KPI recalculation, basic charts and statistical analysis); software architecture, DFD and technology stack; dashboard Pages 2 (Delivery &amp; Cycle Time) and 5 (Case Impact &amp; Decision Quality); master reconciliation; technical sign-off and final refresh QA.</t>
  </si>
  <si>
    <t>Yahia - Data Preparation &amp; Testing Lead</t>
  </si>
  <si>
    <t>Raw and Working data layers with profiling; cleaning of the shipments and hospital tables; derived fields and cleaned dataset; Power BI data models and core measures; dashboard Page 4 (Purchase Orders &amp; Inventory); test plan, UAT and bug log; project infographic.</t>
  </si>
  <si>
    <t>Ola - Data Quality &amp; Review Lead</t>
  </si>
  <si>
    <t>Stakeholder analysis, user stories and use cases; literature review file; data quality rules and mapping sign-off; analytical question map; problem statement and use case diagram; dashboard Page 1 (Executive Overview); findings and recommendations; project presentation.</t>
  </si>
  <si>
    <t>Aya - Data Dictionary &amp; Requirements Lead</t>
  </si>
  <si>
    <t>Data dictionary; functional and non-functional requirements; risk assessment; before/after reconciliation; wireframes and UI/UX guidelines; ER diagram and logical &amp; physical schema; dashboard Page 3 (Suppliers &amp; Cost); README and execution guide; user manual and final documentation.</t>
  </si>
  <si>
    <t>Total</t>
  </si>
  <si>
    <t>Task Assignment</t>
  </si>
  <si>
    <t>Task ID</t>
  </si>
  <si>
    <t>Week</t>
  </si>
  <si>
    <t>Task</t>
  </si>
  <si>
    <t>Responsible Role</t>
  </si>
  <si>
    <t>Start</t>
  </si>
  <si>
    <t>End</t>
  </si>
  <si>
    <t>Deliverable</t>
  </si>
  <si>
    <t>KPI Specification and KPIs Document</t>
  </si>
  <si>
    <t>KPI Specification + KPIs Document</t>
  </si>
  <si>
    <t>GitHub Repository and Branching Strategy</t>
  </si>
  <si>
    <t>Repository + Branching Strategy</t>
  </si>
  <si>
    <t>Raw and Working Data Layers with Data Profiling</t>
  </si>
  <si>
    <t>Raw/Working Data Layers + Profiling Report</t>
  </si>
  <si>
    <t>Project Plan and Task Assignment</t>
  </si>
  <si>
    <t>Project Plan + Task Assignment &amp; Roles</t>
  </si>
  <si>
    <t>Project Proposal</t>
  </si>
  <si>
    <t>Stakeholder Analysis and User Stories &amp; Use Cases</t>
  </si>
  <si>
    <t>Stakeholder Analysis + User Stories &amp; Use Cases</t>
  </si>
  <si>
    <t>Literature Review File (Lecturer Input)</t>
  </si>
  <si>
    <t>Literature Review</t>
  </si>
  <si>
    <t>Data Dictionary</t>
  </si>
  <si>
    <t>Validated Data Dictionary</t>
  </si>
  <si>
    <t>Functional &amp; Non-functional Requirements</t>
  </si>
  <si>
    <t>Risk Assessment &amp; Mitigation Plan</t>
  </si>
  <si>
    <t>SQL Staging, Duplicate and Key Integrity Checks</t>
  </si>
  <si>
    <t>SQL Staging Layer + Integrity Report</t>
  </si>
  <si>
    <t>Shipments Table Cleaning</t>
  </si>
  <si>
    <t>Clean Shipments Table + Cleaning Log</t>
  </si>
  <si>
    <t>Hospital Tables Cleaning</t>
  </si>
  <si>
    <t>Clean Hospital Tables + Cleaning Log</t>
  </si>
  <si>
    <t>Data Quality Rules and Mapping Sign-off</t>
  </si>
  <si>
    <t>Data Quality Rules + Categorical Mapping Sign-off</t>
  </si>
  <si>
    <t>Before/After Reconciliation</t>
  </si>
  <si>
    <t>Before/After Reconciliation Report</t>
  </si>
  <si>
    <t>Python Notebook: KPI Recalculation, Basic Charts and Statistical Analysis</t>
  </si>
  <si>
    <t>Python Notebook (pandas, matplotlib, SciPy, statsmodels) + Statistical Results Table</t>
  </si>
  <si>
    <t>Derived Fields and Cleaned Dataset</t>
  </si>
  <si>
    <t>Derived Fields + Cleaned Dataset</t>
  </si>
  <si>
    <t>Question-to-KPI-to-Chart Map</t>
  </si>
  <si>
    <t>Analytical Question Map</t>
  </si>
  <si>
    <t>Wireframes &amp; UI/UX Guidelines</t>
  </si>
  <si>
    <t>Dashboard UX Specification (Wireframes + Guidelines)</t>
  </si>
  <si>
    <t>Software Architecture, DFD and Technology Stack</t>
  </si>
  <si>
    <t>Software Architecture + DFD + Technology Stack</t>
  </si>
  <si>
    <t>Power BI Data Models (Shipments and Hospitals, Kept Separate) and Core Measures</t>
  </si>
  <si>
    <t>Validated Data Models + Core Measures</t>
  </si>
  <si>
    <t>Problem Statement and Use Case Diagram</t>
  </si>
  <si>
    <t>Problem Statement + Use Case Diagram</t>
  </si>
  <si>
    <t>ER Diagram and Logical &amp; Physical Schema</t>
  </si>
  <si>
    <t>ER Diagram + Logical &amp; Physical Schema</t>
  </si>
  <si>
    <t>Dashboard Page 1: Executive Overview</t>
  </si>
  <si>
    <t>Dashboard Page 1</t>
  </si>
  <si>
    <t>Dashboard Page 2: Delivery &amp; Cycle Time</t>
  </si>
  <si>
    <t>Dashboard Page 2</t>
  </si>
  <si>
    <t>Dashboard Page 3: Suppliers &amp; Cost</t>
  </si>
  <si>
    <t>Dashboard Page 3</t>
  </si>
  <si>
    <t>Dashboard Page 4: Purchase Orders &amp; Inventory</t>
  </si>
  <si>
    <t>Dashboard Page 4</t>
  </si>
  <si>
    <t>Dashboard Page 5: Case Impact &amp; Decision Quality</t>
  </si>
  <si>
    <t>Dashboard Page 5</t>
  </si>
  <si>
    <t>Master Reconciliation (SQL, Python, Power BI)</t>
  </si>
  <si>
    <t>Master Reconciliation Report</t>
  </si>
  <si>
    <t>Test Plan, Functional Testing, UAT and Bug Log</t>
  </si>
  <si>
    <t>Test Plan + Dashboard Functional Test + UAT &amp; Bug Log</t>
  </si>
  <si>
    <t>Findings and Recommendations</t>
  </si>
  <si>
    <t>Findings &amp; Recommendations</t>
  </si>
  <si>
    <t>README and Execution Guide</t>
  </si>
  <si>
    <t>README + Execution Guide</t>
  </si>
  <si>
    <t>Technical Sign-off and Final Refresh QA</t>
  </si>
  <si>
    <t>Technical Sign-off Package + Final Refresh QA</t>
  </si>
  <si>
    <t>Project Infographic (Single 16:9 Image)</t>
  </si>
  <si>
    <t>Project Infographic</t>
  </si>
  <si>
    <t>Project Presentation (PPT/PDF)</t>
  </si>
  <si>
    <t>Project Presentation</t>
  </si>
  <si>
    <t>User Manual and Final Documentation</t>
  </si>
  <si>
    <t>User Manual + Final Documentation</t>
  </si>
  <si>
    <t>Task Count by Role and Week</t>
  </si>
  <si>
    <t>Role</t>
  </si>
  <si>
    <t>Week 1</t>
  </si>
  <si>
    <t>Week 2</t>
  </si>
  <si>
    <t>Week 3</t>
  </si>
  <si>
    <t>Week 4</t>
  </si>
  <si>
    <t>Week 5</t>
  </si>
  <si>
    <t>Week 6</t>
  </si>
  <si>
    <t>Week 7</t>
  </si>
  <si>
    <t>Project Summary</t>
  </si>
  <si>
    <t>1. Project Name</t>
  </si>
  <si>
    <t>Project Name</t>
  </si>
  <si>
    <t>Supply Chain Performance Analysis: Shipment Delays, Cost Efficiency, Inventory Availability, and the Impact of Shortages on Patient Cases</t>
  </si>
  <si>
    <t>2. Project Description and Implementation</t>
  </si>
  <si>
    <t>Objective</t>
  </si>
  <si>
    <t>Measure what the data actually supports: the delivery cycle and cost of the historical shipments (sheet in), then purchase orders, inventory and patient cases in the hospital layer, and convert the results into decisions supported by numbers that can be recalculated.</t>
  </si>
  <si>
    <t>Description</t>
  </si>
  <si>
    <t>A five-page Power BI analysis in the Data Analytics track answering 21 analytical questions (Q01 to Q21) with 38 visuals. Source: Data_Final_project_IR.xlsx with two separate families: Shipments (46 rows, 37 columns, 7 countries, 11 vendors, 3 product groups) and the hospital layer (30 items, 9 suppliers, 4 hospitals, inventory_daily 10,793 rows, purchase_orders 2,187 rows, patient_cases 5,665 rows).</t>
  </si>
  <si>
    <t>Boundaries</t>
  </si>
  <si>
    <t>No figure from memory; blanks stay NULL; outliers flagged, not deleted; shipments (44 on schedule, 2 early, 0 late; Air in 45 rows) and hospital tables are never linked; the hospital layer is synthetic and used descriptively with no causal claim; groups below 5 shipments (countries) or 3 shipments (vendors) are grouped as Other.</t>
  </si>
  <si>
    <t>Tools</t>
  </si>
  <si>
    <t>Excel; SQL (cleaning, validation, calculations); Python 3 with pandas, NumPy, matplotlib, SciPy and statsmodels; Power BI Desktop; GitHub (folders sql, python, powerbi, data, docs); Word/PowerPoint or PDF.</t>
  </si>
  <si>
    <t>Implementation</t>
  </si>
  <si>
    <t>Seven weeks, 36 tasks: Week 1 scope, layers and planning documents (11-15 Oct 2026); Week 2 cleaning, integrity checks and quality rules (18-22 Oct); Week 3 derived fields, cleaned dataset, Python notebook with statistical analysis and dashboard design (25-29 Oct); Week 4 design pack and Power BI data models (1-5 Nov); Week 5 five dashboard pages (8-12 Nov); Week 6 reconciliation, testing, UAT and findings (15-19 Nov); Week 7 sign-off, infographic, presentation and final documentation (22-26 Nov).</t>
  </si>
  <si>
    <t>Statistical analysis (Task 16)</t>
  </si>
  <si>
    <t>Steps S0 to S17 in one notebook using SciPy (scipy.stats) and statsmodels: Kruskal-Wallis, Mann-Whitney U, Wilcoxon, Spearman, Kendall, chi-square, Fisher exact, binomial test, Mantel-Haenszel, Wilson and bootstrap intervals, Holm correction. Full details are in the Python Statistical Analysis sheet of Project_Plan.xlsx.</t>
  </si>
  <si>
    <t>DEPI submissions</t>
  </si>
  <si>
    <t>16 Oct 2026 Planning, Literature Review, Requirements; 6 Nov 2026 System Analysis &amp; Design; 26 Nov 2026 final internal delivery; 30 Nov 2026 Implementation; 4 Dec 2026 Final Presentation, Testing &amp; Reports.</t>
  </si>
  <si>
    <t>3. Team Members and Roles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</si>
</sst>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5" x14ac:knownFonts="1">
    <font>
      <sz val="11"/>
      <color theme="1"/>
      <name val="Calibri"/>
      <family val="2"/>
      <charset val="1"/>
    </font>
    <font>
      <b/>
      <sz val="14"/>
      <color rgb="FF1F3864"/>
      <name val="Arial"/>
      <charset val="1"/>
    </font>
    <font>
      <b/>
      <sz val="10"/>
      <color rgb="FFFFFFFF"/>
      <name val="Arial"/>
      <charset val="1"/>
    </font>
    <font>
      <b/>
      <sz val="10"/>
      <name val="Arial"/>
      <charset val="1"/>
    </font>
    <font>
      <sz val="10"/>
      <name val="Arial"/>
      <charset val="1"/>
    </font>
  </fonts>
  <fills count="8">
    <fill>
      <patternFill patternType="none"/>
    </fill>
    <fill>
      <patternFill patternType="gray125"/>
    </fill>
    <fill>
      <patternFill patternType="solid">
        <fgColor rgb="FF1F3864"/>
        <bgColor rgb="FF333333"/>
      </patternFill>
    </fill>
    <fill>
      <patternFill patternType="solid">
        <fgColor rgb="FFDDEBF7"/>
        <bgColor rgb="FFD9E2F3"/>
      </patternFill>
    </fill>
    <fill>
      <patternFill patternType="solid">
        <fgColor rgb="FFE2EFDA"/>
        <bgColor rgb="FFDDEBF7"/>
      </patternFill>
    </fill>
    <fill>
      <patternFill patternType="solid">
        <fgColor rgb="FFFFF2CC"/>
        <bgColor rgb="FFFCE4D6"/>
      </patternFill>
    </fill>
    <fill>
      <patternFill patternType="solid">
        <fgColor rgb="FFFCE4D6"/>
        <bgColor rgb="FFFFF2CC"/>
      </patternFill>
    </fill>
    <fill>
      <patternFill patternType="solid">
        <fgColor rgb="FFD9E2F3"/>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xfId="0"/>
    <xf numFmtId="0" fontId="0" fillId="0" borderId="0" xfId="0" applyAlignment="1"/>
    <xf numFmtId="0" fontId="1" fillId="0" borderId="0" xfId="0" applyFont="1" applyAlignment="1"/>
    <xf numFmtId="0" fontId="2" fillId="2" borderId="1" xfId="0" applyFont="1" applyFill="1" applyBorder="1" applyAlignment="1">
      <alignment horizontal="center" vertical="center" wrapText="1"/>
    </xf>
    <xf numFmtId="0" fontId="3" fillId="3" borderId="1" xfId="0" applyFont="1" applyFill="1" applyBorder="1" applyAlignment="1">
      <alignment vertical="top" wrapText="1"/>
    </xf>
    <xf numFmtId="0" fontId="4" fillId="0" borderId="1" xfId="0" applyFont="1" applyBorder="1" applyAlignment="1">
      <alignment vertical="top" wrapText="1"/>
    </xf>
    <xf numFmtId="0" fontId="4" fillId="0" borderId="1" xfId="0" applyFont="1" applyBorder="1" applyAlignment="1">
      <alignment horizontal="center" vertical="center" wrapText="1"/>
    </xf>
    <xf numFmtId="0" fontId="3" fillId="4" borderId="1" xfId="0" applyFont="1" applyFill="1" applyBorder="1" applyAlignment="1">
      <alignment vertical="top" wrapText="1"/>
    </xf>
    <xf numFmtId="0" fontId="3" fillId="5" borderId="1" xfId="0" applyFont="1" applyFill="1" applyBorder="1" applyAlignment="1">
      <alignment vertical="top" wrapText="1"/>
    </xf>
    <xf numFmtId="0" fontId="3" fillId="6" borderId="1" xfId="0" applyFont="1" applyFill="1" applyBorder="1" applyAlignment="1">
      <alignment vertical="top" wrapText="1"/>
    </xf>
    <xf numFmtId="0" fontId="3" fillId="0" borderId="1" xfId="0" applyFont="1" applyBorder="1" applyAlignment="1">
      <alignment vertical="top" wrapText="1"/>
    </xf>
    <xf numFmtId="0" fontId="3" fillId="0" borderId="1" xfId="0" applyFont="1" applyBorder="1" applyAlignment="1">
      <alignment horizontal="center" vertical="center" wrapText="1"/>
    </xf>
    <xf numFmtId="0" fontId="4" fillId="3" borderId="1" xfId="0" applyFont="1" applyFill="1" applyBorder="1" applyAlignment="1">
      <alignment vertical="top" wrapText="1"/>
    </xf>
    <xf numFmtId="164" fontId="4" fillId="0" borderId="1" xfId="0" applyNumberFormat="1" applyFont="1" applyBorder="1" applyAlignment="1">
      <alignment horizontal="center" vertical="center"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1" fillId="0" borderId="0" xfId="0" applyFont="1"/>
    <xf numFmtId="0" fontId="2" fillId="2" borderId="1" xfId="0" applyFont="1" applyFill="1" applyBorder="1"/>
    <xf numFmtId="0" fontId="0" fillId="2" borderId="1" xfId="0" applyFill="1" applyBorder="1"/>
    <xf numFmtId="0" fontId="3" fillId="7"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 /><Relationship Id="rId3" Type="http://schemas.openxmlformats.org/officeDocument/2006/relationships/worksheet" Target="worksheets/sheet3.xml" /><Relationship Id="rId7"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styles" Target="styles.xml" /><Relationship Id="rId5" Type="http://schemas.openxmlformats.org/officeDocument/2006/relationships/theme" Target="theme/theme1.xml" /><Relationship Id="rId4" Type="http://schemas.openxmlformats.org/officeDocument/2006/relationships/worksheet" Target="worksheets/sheet4.xml"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C9"/>
  <sheetViews>
    <sheetView zoomScaleNormal="100" workbookViewId="0"/>
  </sheetViews>
  <sheetFormatPr defaultColWidth="8.7421875" defaultRowHeight="15" x14ac:dyDescent="0.2"/>
  <cols>
    <col min="1" max="1" width="46.00390625" style="1" customWidth="1"/>
    <col min="2" max="2" width="99.94921875" style="1" customWidth="1"/>
    <col min="3" max="3" width="16.0078125" style="1" customWidth="1"/>
  </cols>
  <sheetData>
    <row r="1" spans="1:3" ht="17.25" customHeight="1" x14ac:dyDescent="0.2">
      <c r="A1" s="2" t="s">
        <v>0</v>
      </c>
    </row>
    <row r="4" spans="1:3" ht="15" customHeight="1" x14ac:dyDescent="0.2">
      <c r="A4" s="3" t="s">
        <v>1</v>
      </c>
      <c r="B4" s="3" t="s">
        <v>2</v>
      </c>
      <c r="C4" s="3" t="s">
        <v>3</v>
      </c>
    </row>
    <row r="5" spans="1:3" ht="61.5" customHeight="1" x14ac:dyDescent="0.2">
      <c r="A5" s="4" t="s">
        <v>4</v>
      </c>
      <c r="B5" s="5" t="s">
        <v>5</v>
      </c>
      <c r="C5" s="6">
        <f>COUNTIF(Tasks!$D$5:$D$40,A5)</f>
        <v>11</v>
      </c>
    </row>
    <row r="6" spans="1:3" ht="61.5" customHeight="1" x14ac:dyDescent="0.2">
      <c r="A6" s="7" t="s">
        <v>6</v>
      </c>
      <c r="B6" s="5" t="s">
        <v>7</v>
      </c>
      <c r="C6" s="6">
        <f>COUNTIF(Tasks!$D$5:$D$40,A6)</f>
        <v>8</v>
      </c>
    </row>
    <row r="7" spans="1:3" ht="61.5" customHeight="1" x14ac:dyDescent="0.2">
      <c r="A7" s="8" t="s">
        <v>8</v>
      </c>
      <c r="B7" s="5" t="s">
        <v>9</v>
      </c>
      <c r="C7" s="6">
        <f>COUNTIF(Tasks!$D$5:$D$40,A7)</f>
        <v>8</v>
      </c>
    </row>
    <row r="8" spans="1:3" ht="61.5" customHeight="1" x14ac:dyDescent="0.2">
      <c r="A8" s="9" t="s">
        <v>10</v>
      </c>
      <c r="B8" s="5" t="s">
        <v>11</v>
      </c>
      <c r="C8" s="6">
        <f>COUNTIF(Tasks!$D$5:$D$40,A8)</f>
        <v>9</v>
      </c>
    </row>
    <row r="9" spans="1:3" ht="15" customHeight="1" x14ac:dyDescent="0.2">
      <c r="A9" s="10" t="s">
        <v>12</v>
      </c>
      <c r="B9" s="5"/>
      <c r="C9" s="11">
        <f>SUM(C5:C8)</f>
        <v>36</v>
      </c>
    </row>
  </sheetData>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G40"/>
  <sheetViews>
    <sheetView topLeftCell="D1" zoomScaleNormal="100" workbookViewId="0">
      <pane ySplit="4" topLeftCell="D5" activePane="bottomLeft" state="frozen"/>
      <selection pane="bottomLeft"/>
    </sheetView>
  </sheetViews>
  <sheetFormatPr defaultColWidth="8.7421875" defaultRowHeight="15" x14ac:dyDescent="0.2"/>
  <cols>
    <col min="1" max="1" width="9.01171875" style="1" customWidth="1"/>
    <col min="2" max="2" width="6.9921875" style="1" customWidth="1"/>
    <col min="3" max="3" width="62.015625" style="1" customWidth="1"/>
    <col min="4" max="4" width="46.00390625" style="1" customWidth="1"/>
    <col min="5" max="6" width="13.046875" style="1" customWidth="1"/>
    <col min="7" max="7" width="55.9609375" style="1" customWidth="1"/>
  </cols>
  <sheetData>
    <row r="1" spans="1:7" ht="17.25" customHeight="1" x14ac:dyDescent="0.2">
      <c r="A1" s="2" t="s">
        <v>13</v>
      </c>
    </row>
    <row r="4" spans="1:7" ht="15" customHeight="1" x14ac:dyDescent="0.2">
      <c r="A4" s="3" t="s">
        <v>14</v>
      </c>
      <c r="B4" s="3" t="s">
        <v>15</v>
      </c>
      <c r="C4" s="3" t="s">
        <v>16</v>
      </c>
      <c r="D4" s="3" t="s">
        <v>17</v>
      </c>
      <c r="E4" s="3" t="s">
        <v>18</v>
      </c>
      <c r="F4" s="3" t="s">
        <v>19</v>
      </c>
      <c r="G4" s="3" t="s">
        <v>20</v>
      </c>
    </row>
    <row r="5" spans="1:7" ht="15" customHeight="1" x14ac:dyDescent="0.2">
      <c r="A5" s="6">
        <v>1</v>
      </c>
      <c r="B5" s="6">
        <v>1</v>
      </c>
      <c r="C5" s="5" t="s">
        <v>21</v>
      </c>
      <c r="D5" s="12" t="s">
        <v>4</v>
      </c>
      <c r="E5" s="13">
        <v>46306</v>
      </c>
      <c r="F5" s="13">
        <v>46310</v>
      </c>
      <c r="G5" s="5" t="s">
        <v>22</v>
      </c>
    </row>
    <row r="6" spans="1:7" ht="15" customHeight="1" x14ac:dyDescent="0.2">
      <c r="A6" s="6">
        <v>2</v>
      </c>
      <c r="B6" s="6">
        <v>1</v>
      </c>
      <c r="C6" s="5" t="s">
        <v>23</v>
      </c>
      <c r="D6" s="12" t="s">
        <v>4</v>
      </c>
      <c r="E6" s="13">
        <v>46306</v>
      </c>
      <c r="F6" s="13">
        <v>46310</v>
      </c>
      <c r="G6" s="5" t="s">
        <v>24</v>
      </c>
    </row>
    <row r="7" spans="1:7" ht="15" customHeight="1" x14ac:dyDescent="0.2">
      <c r="A7" s="6">
        <v>3</v>
      </c>
      <c r="B7" s="6">
        <v>1</v>
      </c>
      <c r="C7" s="5" t="s">
        <v>25</v>
      </c>
      <c r="D7" s="14" t="s">
        <v>6</v>
      </c>
      <c r="E7" s="13">
        <v>46306</v>
      </c>
      <c r="F7" s="13">
        <v>46310</v>
      </c>
      <c r="G7" s="5" t="s">
        <v>26</v>
      </c>
    </row>
    <row r="8" spans="1:7" ht="15" customHeight="1" x14ac:dyDescent="0.2">
      <c r="A8" s="6">
        <v>4</v>
      </c>
      <c r="B8" s="6">
        <v>1</v>
      </c>
      <c r="C8" s="5" t="s">
        <v>27</v>
      </c>
      <c r="D8" s="12" t="s">
        <v>4</v>
      </c>
      <c r="E8" s="13">
        <v>46306</v>
      </c>
      <c r="F8" s="13">
        <v>46310</v>
      </c>
      <c r="G8" s="5" t="s">
        <v>28</v>
      </c>
    </row>
    <row r="9" spans="1:7" ht="15" customHeight="1" x14ac:dyDescent="0.2">
      <c r="A9" s="6">
        <v>5</v>
      </c>
      <c r="B9" s="6">
        <v>1</v>
      </c>
      <c r="C9" s="5" t="s">
        <v>29</v>
      </c>
      <c r="D9" s="12" t="s">
        <v>4</v>
      </c>
      <c r="E9" s="13">
        <v>46306</v>
      </c>
      <c r="F9" s="13">
        <v>46310</v>
      </c>
      <c r="G9" s="5" t="s">
        <v>29</v>
      </c>
    </row>
    <row r="10" spans="1:7" ht="15" customHeight="1" x14ac:dyDescent="0.2">
      <c r="A10" s="6">
        <v>6</v>
      </c>
      <c r="B10" s="6">
        <v>1</v>
      </c>
      <c r="C10" s="5" t="s">
        <v>30</v>
      </c>
      <c r="D10" s="15" t="s">
        <v>8</v>
      </c>
      <c r="E10" s="13">
        <v>46306</v>
      </c>
      <c r="F10" s="13">
        <v>46310</v>
      </c>
      <c r="G10" s="5" t="s">
        <v>31</v>
      </c>
    </row>
    <row r="11" spans="1:7" ht="15" customHeight="1" x14ac:dyDescent="0.2">
      <c r="A11" s="6">
        <v>7</v>
      </c>
      <c r="B11" s="6">
        <v>1</v>
      </c>
      <c r="C11" s="5" t="s">
        <v>32</v>
      </c>
      <c r="D11" s="15" t="s">
        <v>8</v>
      </c>
      <c r="E11" s="13">
        <v>46306</v>
      </c>
      <c r="F11" s="13">
        <v>46310</v>
      </c>
      <c r="G11" s="5" t="s">
        <v>33</v>
      </c>
    </row>
    <row r="12" spans="1:7" ht="15" customHeight="1" x14ac:dyDescent="0.2">
      <c r="A12" s="6">
        <v>8</v>
      </c>
      <c r="B12" s="6">
        <v>1</v>
      </c>
      <c r="C12" s="5" t="s">
        <v>34</v>
      </c>
      <c r="D12" s="16" t="s">
        <v>10</v>
      </c>
      <c r="E12" s="13">
        <v>46306</v>
      </c>
      <c r="F12" s="13">
        <v>46310</v>
      </c>
      <c r="G12" s="5" t="s">
        <v>35</v>
      </c>
    </row>
    <row r="13" spans="1:7" ht="15" customHeight="1" x14ac:dyDescent="0.2">
      <c r="A13" s="6">
        <v>9</v>
      </c>
      <c r="B13" s="6">
        <v>1</v>
      </c>
      <c r="C13" s="5" t="s">
        <v>36</v>
      </c>
      <c r="D13" s="16" t="s">
        <v>10</v>
      </c>
      <c r="E13" s="13">
        <v>46306</v>
      </c>
      <c r="F13" s="13">
        <v>46310</v>
      </c>
      <c r="G13" s="5" t="s">
        <v>36</v>
      </c>
    </row>
    <row r="14" spans="1:7" ht="15" customHeight="1" x14ac:dyDescent="0.2">
      <c r="A14" s="6">
        <v>10</v>
      </c>
      <c r="B14" s="6">
        <v>1</v>
      </c>
      <c r="C14" s="5" t="s">
        <v>37</v>
      </c>
      <c r="D14" s="16" t="s">
        <v>10</v>
      </c>
      <c r="E14" s="13">
        <v>46306</v>
      </c>
      <c r="F14" s="13">
        <v>46310</v>
      </c>
      <c r="G14" s="5" t="s">
        <v>37</v>
      </c>
    </row>
    <row r="15" spans="1:7" ht="15" customHeight="1" x14ac:dyDescent="0.2">
      <c r="A15" s="6">
        <v>11</v>
      </c>
      <c r="B15" s="6">
        <v>2</v>
      </c>
      <c r="C15" s="5" t="s">
        <v>38</v>
      </c>
      <c r="D15" s="12" t="s">
        <v>4</v>
      </c>
      <c r="E15" s="13">
        <v>46313</v>
      </c>
      <c r="F15" s="13">
        <v>46317</v>
      </c>
      <c r="G15" s="5" t="s">
        <v>39</v>
      </c>
    </row>
    <row r="16" spans="1:7" ht="15" customHeight="1" x14ac:dyDescent="0.2">
      <c r="A16" s="6">
        <v>12</v>
      </c>
      <c r="B16" s="6">
        <v>2</v>
      </c>
      <c r="C16" s="5" t="s">
        <v>40</v>
      </c>
      <c r="D16" s="14" t="s">
        <v>6</v>
      </c>
      <c r="E16" s="13">
        <v>46313</v>
      </c>
      <c r="F16" s="13">
        <v>46317</v>
      </c>
      <c r="G16" s="5" t="s">
        <v>41</v>
      </c>
    </row>
    <row r="17" spans="1:7" ht="15" customHeight="1" x14ac:dyDescent="0.2">
      <c r="A17" s="6">
        <v>13</v>
      </c>
      <c r="B17" s="6">
        <v>2</v>
      </c>
      <c r="C17" s="5" t="s">
        <v>42</v>
      </c>
      <c r="D17" s="14" t="s">
        <v>6</v>
      </c>
      <c r="E17" s="13">
        <v>46313</v>
      </c>
      <c r="F17" s="13">
        <v>46317</v>
      </c>
      <c r="G17" s="5" t="s">
        <v>43</v>
      </c>
    </row>
    <row r="18" spans="1:7" ht="15" customHeight="1" x14ac:dyDescent="0.2">
      <c r="A18" s="6">
        <v>14</v>
      </c>
      <c r="B18" s="6">
        <v>2</v>
      </c>
      <c r="C18" s="5" t="s">
        <v>44</v>
      </c>
      <c r="D18" s="15" t="s">
        <v>8</v>
      </c>
      <c r="E18" s="13">
        <v>46313</v>
      </c>
      <c r="F18" s="13">
        <v>46317</v>
      </c>
      <c r="G18" s="5" t="s">
        <v>45</v>
      </c>
    </row>
    <row r="19" spans="1:7" ht="15" customHeight="1" x14ac:dyDescent="0.2">
      <c r="A19" s="6">
        <v>15</v>
      </c>
      <c r="B19" s="6">
        <v>2</v>
      </c>
      <c r="C19" s="5" t="s">
        <v>46</v>
      </c>
      <c r="D19" s="16" t="s">
        <v>10</v>
      </c>
      <c r="E19" s="13">
        <v>46313</v>
      </c>
      <c r="F19" s="13">
        <v>46317</v>
      </c>
      <c r="G19" s="5" t="s">
        <v>47</v>
      </c>
    </row>
    <row r="20" spans="1:7" ht="27" customHeight="1" x14ac:dyDescent="0.2">
      <c r="A20" s="6">
        <v>16</v>
      </c>
      <c r="B20" s="6">
        <v>3</v>
      </c>
      <c r="C20" s="5" t="s">
        <v>48</v>
      </c>
      <c r="D20" s="12" t="s">
        <v>4</v>
      </c>
      <c r="E20" s="13">
        <v>46320</v>
      </c>
      <c r="F20" s="13">
        <v>46324</v>
      </c>
      <c r="G20" s="5" t="s">
        <v>49</v>
      </c>
    </row>
    <row r="21" spans="1:7" ht="15" customHeight="1" x14ac:dyDescent="0.2">
      <c r="A21" s="6">
        <v>17</v>
      </c>
      <c r="B21" s="6">
        <v>3</v>
      </c>
      <c r="C21" s="5" t="s">
        <v>50</v>
      </c>
      <c r="D21" s="14" t="s">
        <v>6</v>
      </c>
      <c r="E21" s="13">
        <v>46320</v>
      </c>
      <c r="F21" s="13">
        <v>46324</v>
      </c>
      <c r="G21" s="5" t="s">
        <v>51</v>
      </c>
    </row>
    <row r="22" spans="1:7" ht="15" customHeight="1" x14ac:dyDescent="0.2">
      <c r="A22" s="6">
        <v>18</v>
      </c>
      <c r="B22" s="6">
        <v>3</v>
      </c>
      <c r="C22" s="5" t="s">
        <v>52</v>
      </c>
      <c r="D22" s="15" t="s">
        <v>8</v>
      </c>
      <c r="E22" s="13">
        <v>46320</v>
      </c>
      <c r="F22" s="13">
        <v>46324</v>
      </c>
      <c r="G22" s="5" t="s">
        <v>53</v>
      </c>
    </row>
    <row r="23" spans="1:7" ht="15" customHeight="1" x14ac:dyDescent="0.2">
      <c r="A23" s="6">
        <v>19</v>
      </c>
      <c r="B23" s="6">
        <v>3</v>
      </c>
      <c r="C23" s="5" t="s">
        <v>54</v>
      </c>
      <c r="D23" s="16" t="s">
        <v>10</v>
      </c>
      <c r="E23" s="13">
        <v>46320</v>
      </c>
      <c r="F23" s="13">
        <v>46324</v>
      </c>
      <c r="G23" s="5" t="s">
        <v>55</v>
      </c>
    </row>
    <row r="24" spans="1:7" ht="15" customHeight="1" x14ac:dyDescent="0.2">
      <c r="A24" s="6">
        <v>20</v>
      </c>
      <c r="B24" s="6">
        <v>4</v>
      </c>
      <c r="C24" s="5" t="s">
        <v>56</v>
      </c>
      <c r="D24" s="12" t="s">
        <v>4</v>
      </c>
      <c r="E24" s="13">
        <v>46327</v>
      </c>
      <c r="F24" s="13">
        <v>46331</v>
      </c>
      <c r="G24" s="5" t="s">
        <v>57</v>
      </c>
    </row>
    <row r="25" spans="1:7" ht="23.25" customHeight="1" x14ac:dyDescent="0.2">
      <c r="A25" s="6">
        <v>21</v>
      </c>
      <c r="B25" s="6">
        <v>4</v>
      </c>
      <c r="C25" s="5" t="s">
        <v>58</v>
      </c>
      <c r="D25" s="14" t="s">
        <v>6</v>
      </c>
      <c r="E25" s="13">
        <v>46327</v>
      </c>
      <c r="F25" s="13">
        <v>46331</v>
      </c>
      <c r="G25" s="5" t="s">
        <v>59</v>
      </c>
    </row>
    <row r="26" spans="1:7" ht="15" customHeight="1" x14ac:dyDescent="0.2">
      <c r="A26" s="6">
        <v>22</v>
      </c>
      <c r="B26" s="6">
        <v>4</v>
      </c>
      <c r="C26" s="5" t="s">
        <v>60</v>
      </c>
      <c r="D26" s="15" t="s">
        <v>8</v>
      </c>
      <c r="E26" s="13">
        <v>46327</v>
      </c>
      <c r="F26" s="13">
        <v>46331</v>
      </c>
      <c r="G26" s="5" t="s">
        <v>61</v>
      </c>
    </row>
    <row r="27" spans="1:7" ht="15" customHeight="1" x14ac:dyDescent="0.2">
      <c r="A27" s="6">
        <v>23</v>
      </c>
      <c r="B27" s="6">
        <v>4</v>
      </c>
      <c r="C27" s="5" t="s">
        <v>62</v>
      </c>
      <c r="D27" s="16" t="s">
        <v>10</v>
      </c>
      <c r="E27" s="13">
        <v>46327</v>
      </c>
      <c r="F27" s="13">
        <v>46331</v>
      </c>
      <c r="G27" s="5" t="s">
        <v>63</v>
      </c>
    </row>
    <row r="28" spans="1:7" ht="15" customHeight="1" x14ac:dyDescent="0.2">
      <c r="A28" s="6">
        <v>24</v>
      </c>
      <c r="B28" s="6">
        <v>5</v>
      </c>
      <c r="C28" s="5" t="s">
        <v>64</v>
      </c>
      <c r="D28" s="15" t="s">
        <v>8</v>
      </c>
      <c r="E28" s="13">
        <v>46334</v>
      </c>
      <c r="F28" s="13">
        <v>46338</v>
      </c>
      <c r="G28" s="5" t="s">
        <v>65</v>
      </c>
    </row>
    <row r="29" spans="1:7" ht="15" customHeight="1" x14ac:dyDescent="0.2">
      <c r="A29" s="6">
        <v>25</v>
      </c>
      <c r="B29" s="6">
        <v>5</v>
      </c>
      <c r="C29" s="5" t="s">
        <v>66</v>
      </c>
      <c r="D29" s="12" t="s">
        <v>4</v>
      </c>
      <c r="E29" s="13">
        <v>46334</v>
      </c>
      <c r="F29" s="13">
        <v>46338</v>
      </c>
      <c r="G29" s="5" t="s">
        <v>67</v>
      </c>
    </row>
    <row r="30" spans="1:7" ht="15" customHeight="1" x14ac:dyDescent="0.2">
      <c r="A30" s="6">
        <v>26</v>
      </c>
      <c r="B30" s="6">
        <v>5</v>
      </c>
      <c r="C30" s="5" t="s">
        <v>68</v>
      </c>
      <c r="D30" s="16" t="s">
        <v>10</v>
      </c>
      <c r="E30" s="13">
        <v>46334</v>
      </c>
      <c r="F30" s="13">
        <v>46338</v>
      </c>
      <c r="G30" s="5" t="s">
        <v>69</v>
      </c>
    </row>
    <row r="31" spans="1:7" ht="15" customHeight="1" x14ac:dyDescent="0.2">
      <c r="A31" s="6">
        <v>27</v>
      </c>
      <c r="B31" s="6">
        <v>5</v>
      </c>
      <c r="C31" s="5" t="s">
        <v>70</v>
      </c>
      <c r="D31" s="14" t="s">
        <v>6</v>
      </c>
      <c r="E31" s="13">
        <v>46334</v>
      </c>
      <c r="F31" s="13">
        <v>46338</v>
      </c>
      <c r="G31" s="5" t="s">
        <v>71</v>
      </c>
    </row>
    <row r="32" spans="1:7" ht="15" customHeight="1" x14ac:dyDescent="0.2">
      <c r="A32" s="6">
        <v>28</v>
      </c>
      <c r="B32" s="6">
        <v>5</v>
      </c>
      <c r="C32" s="5" t="s">
        <v>72</v>
      </c>
      <c r="D32" s="12" t="s">
        <v>4</v>
      </c>
      <c r="E32" s="13">
        <v>46334</v>
      </c>
      <c r="F32" s="13">
        <v>46338</v>
      </c>
      <c r="G32" s="5" t="s">
        <v>73</v>
      </c>
    </row>
    <row r="33" spans="1:7" ht="15" customHeight="1" x14ac:dyDescent="0.2">
      <c r="A33" s="6">
        <v>29</v>
      </c>
      <c r="B33" s="6">
        <v>6</v>
      </c>
      <c r="C33" s="5" t="s">
        <v>74</v>
      </c>
      <c r="D33" s="12" t="s">
        <v>4</v>
      </c>
      <c r="E33" s="13">
        <v>46341</v>
      </c>
      <c r="F33" s="13">
        <v>46345</v>
      </c>
      <c r="G33" s="5" t="s">
        <v>75</v>
      </c>
    </row>
    <row r="34" spans="1:7" ht="15" customHeight="1" x14ac:dyDescent="0.2">
      <c r="A34" s="6">
        <v>30</v>
      </c>
      <c r="B34" s="6">
        <v>6</v>
      </c>
      <c r="C34" s="5" t="s">
        <v>76</v>
      </c>
      <c r="D34" s="14" t="s">
        <v>6</v>
      </c>
      <c r="E34" s="13">
        <v>46341</v>
      </c>
      <c r="F34" s="13">
        <v>46345</v>
      </c>
      <c r="G34" s="5" t="s">
        <v>77</v>
      </c>
    </row>
    <row r="35" spans="1:7" ht="15" customHeight="1" x14ac:dyDescent="0.2">
      <c r="A35" s="6">
        <v>31</v>
      </c>
      <c r="B35" s="6">
        <v>6</v>
      </c>
      <c r="C35" s="5" t="s">
        <v>78</v>
      </c>
      <c r="D35" s="15" t="s">
        <v>8</v>
      </c>
      <c r="E35" s="13">
        <v>46341</v>
      </c>
      <c r="F35" s="13">
        <v>46345</v>
      </c>
      <c r="G35" s="5" t="s">
        <v>79</v>
      </c>
    </row>
    <row r="36" spans="1:7" ht="15" customHeight="1" x14ac:dyDescent="0.2">
      <c r="A36" s="6">
        <v>32</v>
      </c>
      <c r="B36" s="6">
        <v>6</v>
      </c>
      <c r="C36" s="5" t="s">
        <v>80</v>
      </c>
      <c r="D36" s="16" t="s">
        <v>10</v>
      </c>
      <c r="E36" s="13">
        <v>46341</v>
      </c>
      <c r="F36" s="13">
        <v>46345</v>
      </c>
      <c r="G36" s="5" t="s">
        <v>81</v>
      </c>
    </row>
    <row r="37" spans="1:7" ht="15" customHeight="1" x14ac:dyDescent="0.2">
      <c r="A37" s="6">
        <v>33</v>
      </c>
      <c r="B37" s="6">
        <v>7</v>
      </c>
      <c r="C37" s="5" t="s">
        <v>82</v>
      </c>
      <c r="D37" s="12" t="s">
        <v>4</v>
      </c>
      <c r="E37" s="13">
        <v>46348</v>
      </c>
      <c r="F37" s="13">
        <v>46352</v>
      </c>
      <c r="G37" s="5" t="s">
        <v>83</v>
      </c>
    </row>
    <row r="38" spans="1:7" ht="15" customHeight="1" x14ac:dyDescent="0.2">
      <c r="A38" s="6">
        <v>34</v>
      </c>
      <c r="B38" s="6">
        <v>7</v>
      </c>
      <c r="C38" s="5" t="s">
        <v>84</v>
      </c>
      <c r="D38" s="14" t="s">
        <v>6</v>
      </c>
      <c r="E38" s="13">
        <v>46348</v>
      </c>
      <c r="F38" s="13">
        <v>46352</v>
      </c>
      <c r="G38" s="5" t="s">
        <v>85</v>
      </c>
    </row>
    <row r="39" spans="1:7" ht="15" customHeight="1" x14ac:dyDescent="0.2">
      <c r="A39" s="6">
        <v>35</v>
      </c>
      <c r="B39" s="6">
        <v>7</v>
      </c>
      <c r="C39" s="5" t="s">
        <v>86</v>
      </c>
      <c r="D39" s="15" t="s">
        <v>8</v>
      </c>
      <c r="E39" s="13">
        <v>46348</v>
      </c>
      <c r="F39" s="13">
        <v>46352</v>
      </c>
      <c r="G39" s="5" t="s">
        <v>87</v>
      </c>
    </row>
    <row r="40" spans="1:7" ht="15" customHeight="1" x14ac:dyDescent="0.2">
      <c r="A40" s="6">
        <v>36</v>
      </c>
      <c r="B40" s="6">
        <v>7</v>
      </c>
      <c r="C40" s="5" t="s">
        <v>88</v>
      </c>
      <c r="D40" s="16" t="s">
        <v>10</v>
      </c>
      <c r="E40" s="13">
        <v>46348</v>
      </c>
      <c r="F40" s="13">
        <v>46352</v>
      </c>
      <c r="G40" s="5" t="s">
        <v>89</v>
      </c>
    </row>
  </sheetData>
  <autoFilter ref="A4:G40" xr:uid="{00000000-0009-0000-0000-000001000000}"/>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I8"/>
  <sheetViews>
    <sheetView topLeftCell="G1" zoomScaleNormal="100" workbookViewId="0"/>
  </sheetViews>
  <sheetFormatPr defaultColWidth="8.7421875" defaultRowHeight="15" x14ac:dyDescent="0.2"/>
  <cols>
    <col min="1" max="1" width="46.00390625" style="1" customWidth="1"/>
    <col min="2" max="9" width="9.953125" style="1" customWidth="1"/>
  </cols>
  <sheetData>
    <row r="1" spans="1:9" ht="17.25" customHeight="1" x14ac:dyDescent="0.2">
      <c r="A1" s="2" t="s">
        <v>90</v>
      </c>
    </row>
    <row r="4" spans="1:9" ht="15" customHeight="1" x14ac:dyDescent="0.2">
      <c r="A4" s="3" t="s">
        <v>91</v>
      </c>
      <c r="B4" s="3" t="s">
        <v>92</v>
      </c>
      <c r="C4" s="3" t="s">
        <v>93</v>
      </c>
      <c r="D4" s="3" t="s">
        <v>94</v>
      </c>
      <c r="E4" s="3" t="s">
        <v>95</v>
      </c>
      <c r="F4" s="3" t="s">
        <v>96</v>
      </c>
      <c r="G4" s="3" t="s">
        <v>97</v>
      </c>
      <c r="H4" s="3" t="s">
        <v>98</v>
      </c>
      <c r="I4" s="3" t="s">
        <v>12</v>
      </c>
    </row>
    <row r="5" spans="1:9" ht="15" customHeight="1" x14ac:dyDescent="0.2">
      <c r="A5" s="4" t="s">
        <v>4</v>
      </c>
      <c r="B5" s="6">
        <f>COUNTIFS(Tasks!$D$5:$D$40,$A5,Tasks!$B$5:$B$40,1)</f>
        <v>4</v>
      </c>
      <c r="C5" s="6">
        <f>COUNTIFS(Tasks!$D$5:$D$40,$A5,Tasks!$B$5:$B$40,2)</f>
        <v>1</v>
      </c>
      <c r="D5" s="6">
        <f>COUNTIFS(Tasks!$D$5:$D$40,$A5,Tasks!$B$5:$B$40,3)</f>
        <v>1</v>
      </c>
      <c r="E5" s="6">
        <f>COUNTIFS(Tasks!$D$5:$D$40,$A5,Tasks!$B$5:$B$40,4)</f>
        <v>1</v>
      </c>
      <c r="F5" s="6">
        <f>COUNTIFS(Tasks!$D$5:$D$40,$A5,Tasks!$B$5:$B$40,5)</f>
        <v>2</v>
      </c>
      <c r="G5" s="6">
        <f>COUNTIFS(Tasks!$D$5:$D$40,$A5,Tasks!$B$5:$B$40,6)</f>
        <v>1</v>
      </c>
      <c r="H5" s="6">
        <f>COUNTIFS(Tasks!$D$5:$D$40,$A5,Tasks!$B$5:$B$40,7)</f>
        <v>1</v>
      </c>
      <c r="I5" s="11">
        <f>SUM(B5:H5)</f>
        <v>11</v>
      </c>
    </row>
    <row r="6" spans="1:9" ht="15" customHeight="1" x14ac:dyDescent="0.2">
      <c r="A6" s="7" t="s">
        <v>6</v>
      </c>
      <c r="B6" s="6">
        <f>COUNTIFS(Tasks!$D$5:$D$40,$A6,Tasks!$B$5:$B$40,1)</f>
        <v>1</v>
      </c>
      <c r="C6" s="6">
        <f>COUNTIFS(Tasks!$D$5:$D$40,$A6,Tasks!$B$5:$B$40,2)</f>
        <v>2</v>
      </c>
      <c r="D6" s="6">
        <f>COUNTIFS(Tasks!$D$5:$D$40,$A6,Tasks!$B$5:$B$40,3)</f>
        <v>1</v>
      </c>
      <c r="E6" s="6">
        <f>COUNTIFS(Tasks!$D$5:$D$40,$A6,Tasks!$B$5:$B$40,4)</f>
        <v>1</v>
      </c>
      <c r="F6" s="6">
        <f>COUNTIFS(Tasks!$D$5:$D$40,$A6,Tasks!$B$5:$B$40,5)</f>
        <v>1</v>
      </c>
      <c r="G6" s="6">
        <f>COUNTIFS(Tasks!$D$5:$D$40,$A6,Tasks!$B$5:$B$40,6)</f>
        <v>1</v>
      </c>
      <c r="H6" s="6">
        <f>COUNTIFS(Tasks!$D$5:$D$40,$A6,Tasks!$B$5:$B$40,7)</f>
        <v>1</v>
      </c>
      <c r="I6" s="11">
        <f>SUM(B6:H6)</f>
        <v>8</v>
      </c>
    </row>
    <row r="7" spans="1:9" ht="15" customHeight="1" x14ac:dyDescent="0.2">
      <c r="A7" s="8" t="s">
        <v>8</v>
      </c>
      <c r="B7" s="6">
        <f>COUNTIFS(Tasks!$D$5:$D$40,$A7,Tasks!$B$5:$B$40,1)</f>
        <v>2</v>
      </c>
      <c r="C7" s="6">
        <f>COUNTIFS(Tasks!$D$5:$D$40,$A7,Tasks!$B$5:$B$40,2)</f>
        <v>1</v>
      </c>
      <c r="D7" s="6">
        <f>COUNTIFS(Tasks!$D$5:$D$40,$A7,Tasks!$B$5:$B$40,3)</f>
        <v>1</v>
      </c>
      <c r="E7" s="6">
        <f>COUNTIFS(Tasks!$D$5:$D$40,$A7,Tasks!$B$5:$B$40,4)</f>
        <v>1</v>
      </c>
      <c r="F7" s="6">
        <f>COUNTIFS(Tasks!$D$5:$D$40,$A7,Tasks!$B$5:$B$40,5)</f>
        <v>1</v>
      </c>
      <c r="G7" s="6">
        <f>COUNTIFS(Tasks!$D$5:$D$40,$A7,Tasks!$B$5:$B$40,6)</f>
        <v>1</v>
      </c>
      <c r="H7" s="6">
        <f>COUNTIFS(Tasks!$D$5:$D$40,$A7,Tasks!$B$5:$B$40,7)</f>
        <v>1</v>
      </c>
      <c r="I7" s="11">
        <f>SUM(B7:H7)</f>
        <v>8</v>
      </c>
    </row>
    <row r="8" spans="1:9" ht="15" customHeight="1" x14ac:dyDescent="0.2">
      <c r="A8" s="9" t="s">
        <v>10</v>
      </c>
      <c r="B8" s="6">
        <f>COUNTIFS(Tasks!$D$5:$D$40,$A8,Tasks!$B$5:$B$40,1)</f>
        <v>3</v>
      </c>
      <c r="C8" s="6">
        <f>COUNTIFS(Tasks!$D$5:$D$40,$A8,Tasks!$B$5:$B$40,2)</f>
        <v>1</v>
      </c>
      <c r="D8" s="6">
        <f>COUNTIFS(Tasks!$D$5:$D$40,$A8,Tasks!$B$5:$B$40,3)</f>
        <v>1</v>
      </c>
      <c r="E8" s="6">
        <f>COUNTIFS(Tasks!$D$5:$D$40,$A8,Tasks!$B$5:$B$40,4)</f>
        <v>1</v>
      </c>
      <c r="F8" s="6">
        <f>COUNTIFS(Tasks!$D$5:$D$40,$A8,Tasks!$B$5:$B$40,5)</f>
        <v>1</v>
      </c>
      <c r="G8" s="6">
        <f>COUNTIFS(Tasks!$D$5:$D$40,$A8,Tasks!$B$5:$B$40,6)</f>
        <v>1</v>
      </c>
      <c r="H8" s="6">
        <f>COUNTIFS(Tasks!$D$5:$D$40,$A8,Tasks!$B$5:$B$40,7)</f>
        <v>1</v>
      </c>
      <c r="I8" s="11">
        <f>SUM(B8:H8)</f>
        <v>9</v>
      </c>
    </row>
  </sheetData>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0"/>
  <sheetViews>
    <sheetView tabSelected="1" zoomScaleNormal="100" workbookViewId="0"/>
  </sheetViews>
  <sheetFormatPr defaultColWidth="8.7421875" defaultRowHeight="15" x14ac:dyDescent="0.2"/>
  <cols>
    <col min="1" max="1" width="39.953125" customWidth="1"/>
    <col min="2" max="2" width="110.0390625" customWidth="1"/>
  </cols>
  <sheetData>
    <row r="1" spans="1:2" ht="18" x14ac:dyDescent="0.2">
      <c r="A1" s="17" t="s">
        <v>99</v>
      </c>
    </row>
    <row r="3" spans="1:2" x14ac:dyDescent="0.2">
      <c r="A3" s="18" t="s">
        <v>100</v>
      </c>
      <c r="B3" s="19"/>
    </row>
    <row r="4" spans="1:2" ht="31.5" customHeight="1" x14ac:dyDescent="0.2">
      <c r="A4" s="10" t="s">
        <v>101</v>
      </c>
      <c r="B4" s="5" t="s">
        <v>102</v>
      </c>
    </row>
    <row r="6" spans="1:2" x14ac:dyDescent="0.2">
      <c r="A6" s="18" t="s">
        <v>103</v>
      </c>
      <c r="B6" s="19"/>
    </row>
    <row r="7" spans="1:2" ht="57.75" customHeight="1" x14ac:dyDescent="0.2">
      <c r="A7" s="10" t="s">
        <v>104</v>
      </c>
      <c r="B7" s="5" t="s">
        <v>105</v>
      </c>
    </row>
    <row r="8" spans="1:2" ht="72" customHeight="1" x14ac:dyDescent="0.2">
      <c r="A8" s="10" t="s">
        <v>106</v>
      </c>
      <c r="B8" s="5" t="s">
        <v>107</v>
      </c>
    </row>
    <row r="9" spans="1:2" ht="57.75" customHeight="1" x14ac:dyDescent="0.2">
      <c r="A9" s="10" t="s">
        <v>108</v>
      </c>
      <c r="B9" s="5" t="s">
        <v>109</v>
      </c>
    </row>
    <row r="10" spans="1:2" ht="45" customHeight="1" x14ac:dyDescent="0.2">
      <c r="A10" s="10" t="s">
        <v>110</v>
      </c>
      <c r="B10" s="5" t="s">
        <v>111</v>
      </c>
    </row>
    <row r="11" spans="1:2" ht="85.5" customHeight="1" x14ac:dyDescent="0.2">
      <c r="A11" s="10" t="s">
        <v>112</v>
      </c>
      <c r="B11" s="5" t="s">
        <v>113</v>
      </c>
    </row>
    <row r="12" spans="1:2" ht="72" customHeight="1" x14ac:dyDescent="0.2">
      <c r="A12" s="10" t="s">
        <v>114</v>
      </c>
      <c r="B12" s="5" t="s">
        <v>115</v>
      </c>
    </row>
    <row r="13" spans="1:2" ht="45" customHeight="1" x14ac:dyDescent="0.2">
      <c r="A13" s="10" t="s">
        <v>116</v>
      </c>
      <c r="B13" s="5" t="s">
        <v>117</v>
      </c>
    </row>
    <row r="15" spans="1:2" x14ac:dyDescent="0.2">
      <c r="A15" s="18" t="s">
        <v>118</v>
      </c>
      <c r="B15" s="19"/>
    </row>
    <row r="16" spans="1:2" x14ac:dyDescent="0.2">
      <c r="A16" s="20" t="s">
        <v>1</v>
      </c>
      <c r="B16" s="20" t="s">
        <v>2</v>
      </c>
    </row>
    <row r="17" spans="1:2" ht="61.5" customHeight="1" x14ac:dyDescent="0.2">
      <c r="A17" s="4" t="str">
        <f>Roles!A5</f>
        <v>Hossam - Technical Analytics Lead</v>
      </c>
      <c r="B17" s="5" t="str">
        <f>Roles!B5</f>
        <v>Project proposal; project plan and task assignment; KPI specification and KPIs document; GitHub repository; SQL staging and integrity checks; Python notebook (KPI recalculation, basic charts and statistical analysis); software architecture, DFD and technology stack; dashboard Pages 2 (Delivery &amp; Cycle Time) and 5 (Case Impact &amp; Decision Quality); master reconciliation; technical sign-off and final refresh QA.</v>
      </c>
    </row>
    <row r="18" spans="1:2" ht="61.5" customHeight="1" x14ac:dyDescent="0.2">
      <c r="A18" s="7" t="str">
        <f>Roles!A6</f>
        <v>Yahia - Data Preparation &amp; Testing Lead</v>
      </c>
      <c r="B18" s="5" t="str">
        <f>Roles!B6</f>
        <v>Raw and Working data layers with profiling; cleaning of the shipments and hospital tables; derived fields and cleaned dataset; Power BI data models and core measures; dashboard Page 4 (Purchase Orders &amp; Inventory); test plan, UAT and bug log; project infographic.</v>
      </c>
    </row>
    <row r="19" spans="1:2" ht="61.5" customHeight="1" x14ac:dyDescent="0.2">
      <c r="A19" s="8" t="str">
        <f>Roles!A7</f>
        <v>Ola - Data Quality &amp; Review Lead</v>
      </c>
      <c r="B19" s="5" t="str">
        <f>Roles!B7</f>
        <v>Stakeholder analysis, user stories and use cases; literature review file; data quality rules and mapping sign-off; analytical question map; problem statement and use case diagram; dashboard Page 1 (Executive Overview); findings and recommendations; project presentation.</v>
      </c>
    </row>
    <row r="20" spans="1:2" ht="61.5" customHeight="1" x14ac:dyDescent="0.2">
      <c r="A20" s="9" t="str">
        <f>Roles!A8</f>
        <v>Aya - Data Dictionary &amp; Requirements Lead</v>
      </c>
      <c r="B20" s="5" t="str">
        <f>Roles!B8</f>
        <v>Data dictionary; functional and non-functional requirements; risk assessment; before/after reconciliation; wireframes and UI/UX guidelines; ER diagram and logical &amp; physical schema; dashboard Page 3 (Suppliers &amp; Cost); README and execution guide; user manual and final documentation.</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Excel Android</Application>
  <ScaleCrop>false</ScaleCrop>
  <HeadingPairs>
    <vt:vector size="2" baseType="variant">
      <vt:variant>
        <vt:lpstr>Worksheets</vt:lpstr>
      </vt:variant>
      <vt:variant>
        <vt:i4>4</vt:i4>
      </vt:variant>
    </vt:vector>
  </HeadingPairs>
  <TitlesOfParts>
    <vt:vector size="4" baseType="lpstr">
      <vt:lpstr>Roles</vt:lpstr>
      <vt:lpstr>Tasks</vt:lpstr>
      <vt:lpstr>Role-Week Matrix</vt:lpstr>
      <vt:lpstr>Project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
  <cp:revision>0</cp:revision>
  <dcterms:created xsi:type="dcterms:W3CDTF">2026-10-16T19:09:20Z</dcterms:created>
  <dcterms:modified xsi:type="dcterms:W3CDTF">2026-10-23T22:03:49Z</dcterms:modified>
  <dc:language>en-US</dc:language>
</cp:coreProperties>
</file>