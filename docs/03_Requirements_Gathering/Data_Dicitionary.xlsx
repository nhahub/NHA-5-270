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1DA41BE-C191-5D4E-B7F5-1A78BBADEB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ull Dictionary" sheetId="1" r:id="rId1"/>
    <sheet name="Source Reconciliation" sheetId="2" r:id="rId2"/>
    <sheet name="Keys &amp; Relationships" sheetId="3" r:id="rId3"/>
    <sheet name="Standardization Counts" sheetId="4" r:id="rId4"/>
  </sheets>
  <definedNames>
    <definedName name="_xlnm._FilterDatabase" localSheetId="0" hidden="1">'Full Dictionary'!$A$5:$Q$106</definedName>
    <definedName name="_xlnm._FilterDatabase" localSheetId="3" hidden="1">'Standardization Counts'!$A$5:$F$31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<sst xmlns="http://schemas.openxmlformats.org/spreadsheetml/2006/main" count="1652" uniqueCount="805">
  <si>
    <t>Supply Chain Performance Analysis: Shipment Delays, Cost Efficiency, Inventory Availability, and the Impact of Shortages on Patient Cases</t>
  </si>
  <si>
    <t>Data Dictionary</t>
  </si>
  <si>
    <t>Complete dictionary of 101 columns across 7 tables in Data_Final_project_IR.xlsx. Counts, types and quality notes are calculated directly from the source file; descriptions are taken from its data_dictionary sheet. The Usage Decision column is editable (drop-down list); use the filters on Table, Layer or Usage Decision.</t>
  </si>
  <si>
    <t>No.</t>
  </si>
  <si>
    <t>Table</t>
  </si>
  <si>
    <t>Layer</t>
  </si>
  <si>
    <t>Column</t>
  </si>
  <si>
    <t>Business Meaning</t>
  </si>
  <si>
    <t>Source Description (data_dictionary)</t>
  </si>
  <si>
    <t>Expected Type After Cleaning</t>
  </si>
  <si>
    <t>Actual Type in File (before cleaning)</t>
  </si>
  <si>
    <t>Key Role</t>
  </si>
  <si>
    <t>Non-Blank</t>
  </si>
  <si>
    <t>Blank (NULL)</t>
  </si>
  <si>
    <t>Distinct Values</t>
  </si>
  <si>
    <t>Sample Values</t>
  </si>
  <si>
    <t>Observed Data Quality Notes</t>
  </si>
  <si>
    <t>Usage Decision</t>
  </si>
  <si>
    <t>Linked KPI / Question</t>
  </si>
  <si>
    <t>Source Documentation Status</t>
  </si>
  <si>
    <t>in</t>
  </si>
  <si>
    <t>Shipments</t>
  </si>
  <si>
    <t>id</t>
  </si>
  <si>
    <t>Shipment line identifier (primary key of sheet in)</t>
  </si>
  <si>
    <t>Row identifier of the shipment line (key of sheet 'in')</t>
  </si>
  <si>
    <t>Integer</t>
  </si>
  <si>
    <t>Numeric 46</t>
  </si>
  <si>
    <t>PK</t>
  </si>
  <si>
    <t>630 | 668 | 719</t>
  </si>
  <si>
    <t>46 rows = 46 unique values; no duplicates.</t>
  </si>
  <si>
    <t>Key / Join</t>
  </si>
  <si>
    <t>Total Shipments (Q01); Q07; Q11</t>
  </si>
  <si>
    <t>Documented in source</t>
  </si>
  <si>
    <t>project code</t>
  </si>
  <si>
    <t>Programme / project code (country + order group)</t>
  </si>
  <si>
    <t>Programme/project code (country + order group)</t>
  </si>
  <si>
    <t>Text</t>
  </si>
  <si>
    <t>Text 46</t>
  </si>
  <si>
    <t>—</t>
  </si>
  <si>
    <t>112-NG-T01 | 102-GY-T01 | 104-CI-T01</t>
  </si>
  <si>
    <t>12 distinct values.</t>
  </si>
  <si>
    <t>Descriptive attribute</t>
  </si>
  <si>
    <t>pq #</t>
  </si>
  <si>
    <t>Price quotation number; Pre-PQ Process marks shipments made before the PQ system</t>
  </si>
  <si>
    <t>Price quotation number; 'Pre-PQ Process' = shipped before the PQ system</t>
  </si>
  <si>
    <t>Pre-PQ Process | FPQ-8671 | FPQ-6124</t>
  </si>
  <si>
    <t>21 of 46 rows hold the status text Pre-PQ Process (a status, not a number).</t>
  </si>
  <si>
    <t>po / so #</t>
  </si>
  <si>
    <t>Purchase / sales order number; one order can span several lines</t>
  </si>
  <si>
    <t>Purchase / sales order number (several lines per order)</t>
  </si>
  <si>
    <t>SCMS-26560 | SCMS-27670 | SCMS-29340</t>
  </si>
  <si>
    <t>40 distinct values across 46 rows (several lines per order); not a key and an order is not counted as a shipment line.</t>
  </si>
  <si>
    <t>asn/dn #</t>
  </si>
  <si>
    <t>Advance shipping notice / delivery note number</t>
  </si>
  <si>
    <t>ASN-2366 | ASN-2255 | ASN-2921</t>
  </si>
  <si>
    <t>40 distinct values across 46 rows.</t>
  </si>
  <si>
    <t>country</t>
  </si>
  <si>
    <t>Destination country</t>
  </si>
  <si>
    <t>Destination country (note: encoding errors, e.g. 'CÃ´te d'Ivoire')</t>
  </si>
  <si>
    <t>Text (Category)</t>
  </si>
  <si>
    <t>Nigeria | Guyana | CÃ´te d'Ivoire</t>
  </si>
  <si>
    <t>6 rows carry an encoding error (CÃ´te d'Ivoire); 7 countries. Counts: Nigeria 17, Haiti 8, Cote d'Ivoire 6, Congo DRC 6, Guyana 5, Afghanistan 3, Ethiopia 1. Mapping keeps the raw value.</t>
  </si>
  <si>
    <t>Cleaning + Analysis</t>
  </si>
  <si>
    <t>Q05; Q10</t>
  </si>
  <si>
    <t>managed by</t>
  </si>
  <si>
    <t>Office managing the order</t>
  </si>
  <si>
    <t>PMO - US</t>
  </si>
  <si>
    <t>Single value (PMO - US) in all 46 rows.</t>
  </si>
  <si>
    <t>fulfill via</t>
  </si>
  <si>
    <t>Supply route: Direct Drop (from vendor) or From RDC (regional distribution centre)</t>
  </si>
  <si>
    <t>Direct Drop (from vendor) or From RDC (regional distribution centre)</t>
  </si>
  <si>
    <t>Direct Drop</t>
  </si>
  <si>
    <t>All 46 rows = Direct Drop; no From RDC value in this file.</t>
  </si>
  <si>
    <t>vendor inco term</t>
  </si>
  <si>
    <t>Incoterm agreed with the vendor</t>
  </si>
  <si>
    <t>Incoterm agreed with vendor; 'N/A - From RDC' when supplied from stock</t>
  </si>
  <si>
    <t>EXW | CIP | CIF</t>
  </si>
  <si>
    <t>EXW 42, CIP 3, CIF 1.</t>
  </si>
  <si>
    <t>shipment mode</t>
  </si>
  <si>
    <t>Transport mode of the shipment</t>
  </si>
  <si>
    <t>Air / Air Charter / Truck / Ocean (blank in ~3.5% of rows)</t>
  </si>
  <si>
    <t>Text 45</t>
  </si>
  <si>
    <t>Air</t>
  </si>
  <si>
    <t>Air 45 + 1 blank (2.2%); a single mode, so modes cannot be compared.</t>
  </si>
  <si>
    <t>pq first sent to client date</t>
  </si>
  <si>
    <t>Date the price quotation was first sent to the client</t>
  </si>
  <si>
    <t>Date PQ was first sent (text placeholders exist)</t>
  </si>
  <si>
    <t>Date</t>
  </si>
  <si>
    <t>Text 21 + Date 25</t>
  </si>
  <si>
    <t>Pre-PQ Process | 2011-11-09 | 2010-07-29</t>
  </si>
  <si>
    <t>25 valid dates + 21 text values (Pre-PQ Process = a status, not a date). Not used in any KPI.</t>
  </si>
  <si>
    <t>Cleaning + Flag</t>
  </si>
  <si>
    <t>po sent to vendor date</t>
  </si>
  <si>
    <t>Date the purchase order was sent to the vendor (start of Lead Time)</t>
  </si>
  <si>
    <t>Date PO went to the vendor (text placeholders exist)</t>
  </si>
  <si>
    <t>Text 1 + Date 45</t>
  </si>
  <si>
    <t>2008-07-02 | 2008-07-25 | 2008-09-03</t>
  </si>
  <si>
    <t>45 valid dates + 1 text value (Date Not Captured); Lead Time is calculable for 45 records.</t>
  </si>
  <si>
    <t>Lead Time Days; Q05; Q06</t>
  </si>
  <si>
    <t>scheduled delivery date</t>
  </si>
  <si>
    <t>Promised delivery date</t>
  </si>
  <si>
    <t>Date 46</t>
  </si>
  <si>
    <t>2009-02-25 | 2008-08-15 | 2009-01-23</t>
  </si>
  <si>
    <t>46 valid dates (2007-11-07 to 2015-08-18).</t>
  </si>
  <si>
    <t>Analysis (KPI input)</t>
  </si>
  <si>
    <t>Delay Days; Schedule Status; Q04</t>
  </si>
  <si>
    <t>delivered to client date</t>
  </si>
  <si>
    <t>Actual delivery date to the client</t>
  </si>
  <si>
    <t>Actual delivery date</t>
  </si>
  <si>
    <t>2008-09-09 | 2008-08-15 | 2009-01-23</t>
  </si>
  <si>
    <t>46 valid dates. Delay Days: 0 late / 44 on schedule / 2 early (earliest: 169 days before schedule).</t>
  </si>
  <si>
    <t>Delay Days; Shelf Life at Delivery; Q01; Q04; Q07</t>
  </si>
  <si>
    <t>delivery recorded date</t>
  </si>
  <si>
    <t>Date the delivery was entered in the system (end of Lead Time)</t>
  </si>
  <si>
    <t>Date delivery was entered in the system</t>
  </si>
  <si>
    <t>46 valid dates; 5 recorded one day or more after delivery; none recorded before delivery. Lead Time: 19 to 202 days, median 83 (45 records).</t>
  </si>
  <si>
    <t>product group</t>
  </si>
  <si>
    <t>Product group (ANTM / ACT / MRDT)</t>
  </si>
  <si>
    <t>Product grouping in the retained shipment records</t>
  </si>
  <si>
    <t>ACT | MRDT | ANTM</t>
  </si>
  <si>
    <t>ANTM 22, ACT 16, MRDT 8.</t>
  </si>
  <si>
    <t>Analysis (dimension)</t>
  </si>
  <si>
    <t>Q01; Q09; Q10</t>
  </si>
  <si>
    <t>sub classification</t>
  </si>
  <si>
    <t>Product sub-classification</t>
  </si>
  <si>
    <t>Product sub-classification in the retained shipment records</t>
  </si>
  <si>
    <t>ACT | Malaria</t>
  </si>
  <si>
    <t>Malaria 30, ACT 16.</t>
  </si>
  <si>
    <t>vendor</t>
  </si>
  <si>
    <t>Supplier of the shipment line</t>
  </si>
  <si>
    <t>Supplier of the line</t>
  </si>
  <si>
    <t>IDA FOUNDATION | ZEPHYR BIOMEDICALS | MISSIONPHARMA A/S</t>
  </si>
  <si>
    <t>11 vendors: IDA FOUNDATION 17; 5 vendors with 1 shipment each; 6 vendors with 3 or more shipments.</t>
  </si>
  <si>
    <t>Vendor Value Share; Q08</t>
  </si>
  <si>
    <t>item description</t>
  </si>
  <si>
    <t>Full product description</t>
  </si>
  <si>
    <t>Artemether/Lumefantrine 20/120 | Malaria Paramax-3 Kit, 25 Test | Artesunate+Amodiaquine 50+153m</t>
  </si>
  <si>
    <t>17 distinct values.</t>
  </si>
  <si>
    <t>molecule/test type</t>
  </si>
  <si>
    <t>Active ingredient or test type</t>
  </si>
  <si>
    <t>Artemether/Lumefantrine | Malaria Paramax-3 Kit | Artesunate+Amodiaquine</t>
  </si>
  <si>
    <t>13 distinct values.</t>
  </si>
  <si>
    <t>Q09</t>
  </si>
  <si>
    <t>brand</t>
  </si>
  <si>
    <t>Brand name or Generic</t>
  </si>
  <si>
    <t>Brand or 'Generic'</t>
  </si>
  <si>
    <t>Coartem | Paramax | Generic</t>
  </si>
  <si>
    <t>Generic 28, Coartem 12, Paramax 5, CareStart 1.</t>
  </si>
  <si>
    <t>dosage</t>
  </si>
  <si>
    <t>Strength / concentration (blank for tests)</t>
  </si>
  <si>
    <t>Strength (blank for tests)</t>
  </si>
  <si>
    <t>Text 38</t>
  </si>
  <si>
    <t>20/120mg | 50+153mg | 600mg/2ml</t>
  </si>
  <si>
    <t>8 blanks, all in MRDT (test) records; expected for tests, not filled.</t>
  </si>
  <si>
    <t>dosage form</t>
  </si>
  <si>
    <t>Pharmaceutical form (tablet, injection, test kit, etc.)</t>
  </si>
  <si>
    <t>Tablet, capsule, solution, test kit ...</t>
  </si>
  <si>
    <t>Tablet - FDC + blister | Test kit | Tablet - FDC + co-blister</t>
  </si>
  <si>
    <t>7 distinct values.</t>
  </si>
  <si>
    <t>unit of measure (per pack)</t>
  </si>
  <si>
    <t>Number of units in one pack</t>
  </si>
  <si>
    <t>Units in one pack</t>
  </si>
  <si>
    <t>540 | 25 | 12</t>
  </si>
  <si>
    <t>9 distinct numeric values.</t>
  </si>
  <si>
    <t>line item quantity</t>
  </si>
  <si>
    <t>Quantity ordered (packs)</t>
  </si>
  <si>
    <t>34 | 98 | 25000</t>
  </si>
  <si>
    <t>36 distinct numeric values.</t>
  </si>
  <si>
    <t>line item value</t>
  </si>
  <si>
    <t>Line value in USD</t>
  </si>
  <si>
    <t>Value in USD</t>
  </si>
  <si>
    <t>Decimal (USD)</t>
  </si>
  <si>
    <t>1547.68 | 3675 | 9750</t>
  </si>
  <si>
    <t>46 valid numeric values; total 1,019,622.60 USD.</t>
  </si>
  <si>
    <t>Shipment Value USD; Vendor Value Share; Freight/Value; Insurance/Value; Q01; Q08; Q09; Q10</t>
  </si>
  <si>
    <t>pack price</t>
  </si>
  <si>
    <t>Price per pack in USD</t>
  </si>
  <si>
    <t>USD per pack</t>
  </si>
  <si>
    <t>45.52 | 37.5 | 0.39</t>
  </si>
  <si>
    <t>46 valid numeric values.</t>
  </si>
  <si>
    <t>unit price</t>
  </si>
  <si>
    <t>Price per unit in USD</t>
  </si>
  <si>
    <t>USD per unit</t>
  </si>
  <si>
    <t>0.08 | 1.5 | 0.03</t>
  </si>
  <si>
    <t>46 valid numeric values; compared within the same molecule / test type only.</t>
  </si>
  <si>
    <t>Unit Price; Q09</t>
  </si>
  <si>
    <t>manufacturing site</t>
  </si>
  <si>
    <t>Manufacturing site (factory)</t>
  </si>
  <si>
    <t>Factory</t>
  </si>
  <si>
    <t>Novartis Pharma AG, Switzerlan | Not Applicable | Ipca Dadra/Nagar Haveli IN</t>
  </si>
  <si>
    <t>18 distinct values; 5 rows hold Not Applicable.</t>
  </si>
  <si>
    <t>first line designation</t>
  </si>
  <si>
    <t>TRUE if the product belongs to a first-line treatment regimen</t>
  </si>
  <si>
    <t>True if first-line regimen product</t>
  </si>
  <si>
    <t>Boolean</t>
  </si>
  <si>
    <t>Boolean 46</t>
  </si>
  <si>
    <t>True | False</t>
  </si>
  <si>
    <t>TRUE 40, FALSE 6.</t>
  </si>
  <si>
    <t>weight (kilograms)</t>
  </si>
  <si>
    <t>Shipment weight in kilograms</t>
  </si>
  <si>
    <t>Shipment weight; text such as 'See DN-304' / 'Weight Captured Separately' in ~38% of rows</t>
  </si>
  <si>
    <t>Decimal (kg)</t>
  </si>
  <si>
    <t>Numeric 38 + Text 8</t>
  </si>
  <si>
    <t>115 | 34 | 1708</t>
  </si>
  <si>
    <t>38 numeric + 8 text values (17.4%): Weight Captured Separately 2; See ASN-... 6. Text becomes NULL with a flag, never zero.</t>
  </si>
  <si>
    <t>Freight per Kg; Q11</t>
  </si>
  <si>
    <t>freight cost (usd)</t>
  </si>
  <si>
    <t>Freight cost in USD</t>
  </si>
  <si>
    <t>Freight cost; text such as 'Freight Included in Commodity Cost' / 'Invoiced Separately' / 'See ASN-...' in ~40% of rows</t>
  </si>
  <si>
    <t>1755.87 | 180 | 12830.91</t>
  </si>
  <si>
    <t>38 numeric + 8 text values (17.4%): Freight Included in Commodity Cost 2; See ASN-... 6. Freight/Value = SUM / SUM over valid numeric records.</t>
  </si>
  <si>
    <t>Freight/Value; Freight per Kg; Q10; Q11</t>
  </si>
  <si>
    <t>line item insurance (usd)</t>
  </si>
  <si>
    <t>Insurance cost for the line in USD</t>
  </si>
  <si>
    <t>Insurance cost (blank in ~3%)</t>
  </si>
  <si>
    <t>2.48 | 5.88 | 19.11</t>
  </si>
  <si>
    <t>46 valid numeric values; no blanks.</t>
  </si>
  <si>
    <t>Insurance/Value; Q10</t>
  </si>
  <si>
    <t>batch_number</t>
  </si>
  <si>
    <t>Manufacturer lot number printed on the product</t>
  </si>
  <si>
    <t>Text 43</t>
  </si>
  <si>
    <t>ASP086978Z | NOT088188Y | IPC098143S</t>
  </si>
  <si>
    <t>3 blanks; 42 distinct values among 43 filled; one value is repeated on two lines. Not used in any analytical question.</t>
  </si>
  <si>
    <t>expiry_date</t>
  </si>
  <si>
    <t>Expiry date of the delivered lot</t>
  </si>
  <si>
    <t>Expiry date of the delivered lot (&gt;=50% shelf life remaining when clean)</t>
  </si>
  <si>
    <t>Text 1 + Date 43</t>
  </si>
  <si>
    <t>2010-12-13 | 2009-08-04 | 2010-04-30</t>
  </si>
  <si>
    <t>43 valid dates + 1 text value (01/2010) + 2 blanks; 2 valid dates fall before the delivery date (115 and 212 days earlier) and are listed, not deleted.</t>
  </si>
  <si>
    <t>Shelf Life at Delivery Days; Q07</t>
  </si>
  <si>
    <t>customs_clearance_days</t>
  </si>
  <si>
    <t>Days from arrival to customs release</t>
  </si>
  <si>
    <t>Days from arrival to customs release (depends on mode, country, From RDC)</t>
  </si>
  <si>
    <t>Integer (days)</t>
  </si>
  <si>
    <t>Numeric 43 + Text 2</t>
  </si>
  <si>
    <t>2 | 1 | 15</t>
  </si>
  <si>
    <t>43 numeric (range 1 to 15) + 2 text values (3 days, ~6) + 1 blank. The approximate value keeps a flag.</t>
  </si>
  <si>
    <t>Customs Clearance Days; Q06</t>
  </si>
  <si>
    <t>receiving_inspection_result</t>
  </si>
  <si>
    <t>Result of the quality inspection at receipt</t>
  </si>
  <si>
    <t>Result of quality inspection at receipt</t>
  </si>
  <si>
    <t>Text 40</t>
  </si>
  <si>
    <t>Accepted | Pass | OK</t>
  </si>
  <si>
    <t>40 filled + 6 blanks; 8 raw variants (Accepted 31; Accepted with trailing space 2; Pass 2; OK 1; Accepted - OK 1; accepted 1; ACCEPTED 1; Accepted with remarks 1).</t>
  </si>
  <si>
    <t>Inspection Acceptance Rate; Q07</t>
  </si>
  <si>
    <t>inventory_daily</t>
  </si>
  <si>
    <t>Hospital - Transactions</t>
  </si>
  <si>
    <t>record_id</t>
  </si>
  <si>
    <t>Inventory row identifier (duplicate rows share it)</t>
  </si>
  <si>
    <t>Row id (duplicates share it)</t>
  </si>
  <si>
    <t>Numeric 10,793</t>
  </si>
  <si>
    <t>Conditional PK</t>
  </si>
  <si>
    <t>2 | 3 | 4</t>
  </si>
  <si>
    <t>162 extra rows (10,793 rows / 10,631 unique); all 162 are exact copies. The duplicate key is confirmed before any deletion.</t>
  </si>
  <si>
    <t>Fact_Inventory (after duplicate resolution)</t>
  </si>
  <si>
    <t>date</t>
  </si>
  <si>
    <t>Inventory day (documented period 2026-01-01 to 2026-03-31)</t>
  </si>
  <si>
    <t>Day, 2026-01-01..2026-03-31</t>
  </si>
  <si>
    <t>Numeric 43 + Text 10,750</t>
  </si>
  <si>
    <t>2026-01-02 | 2026-01-03 | 2026-01-04</t>
  </si>
  <si>
    <t>Mixed formats: ISO text 10,225 / dd/mm/yyyy text 417 / dd-Mon-yy text 108 / Excel serial number 43. 43 ISO dates fall outside 2026-01-01 to 2026-03-31. 186 of 417 dd/mm/yyyy values are ambiguous (both parts 12 or less); a day-first reading places all 417 inside the period, a month-first reading only 51.</t>
  </si>
  <si>
    <t>Q15 (weekly trend)</t>
  </si>
  <si>
    <t>hospital_id</t>
  </si>
  <si>
    <t>Hospital code</t>
  </si>
  <si>
    <t>Not documented in the source data_dictionary</t>
  </si>
  <si>
    <t>Text (Key)</t>
  </si>
  <si>
    <t>Text 10,793</t>
  </si>
  <si>
    <t>FK → hospitals</t>
  </si>
  <si>
    <t>H-A | h-a | H_A</t>
  </si>
  <si>
    <t>17 raw variants → 5 after trim / upper / replace _ with -; H-E is not in hospitals (23 rows).</t>
  </si>
  <si>
    <t>Q15</t>
  </si>
  <si>
    <t>Not documented in source</t>
  </si>
  <si>
    <t>item_id</t>
  </si>
  <si>
    <t>Item code</t>
  </si>
  <si>
    <t>FK → items</t>
  </si>
  <si>
    <t>I001 | I099 | I002</t>
  </si>
  <si>
    <t>93 raw variants → 33 after standardization; orphan codes I000, I099, I3O1 (35 rows).</t>
  </si>
  <si>
    <t>Q15; Q16; Q19</t>
  </si>
  <si>
    <t>opening_stock</t>
  </si>
  <si>
    <t>Units in stock at the start of the day</t>
  </si>
  <si>
    <t>Units at start / end of day</t>
  </si>
  <si>
    <t>667 | 582 | 488</t>
  </si>
  <si>
    <t>No blanks; all numeric.</t>
  </si>
  <si>
    <t>Validation only</t>
  </si>
  <si>
    <t>Stock equation check</t>
  </si>
  <si>
    <t>Documented (grouped entry)</t>
  </si>
  <si>
    <t>received_qty</t>
  </si>
  <si>
    <t>Units received during the day</t>
  </si>
  <si>
    <t>Receipts, ward requests, units issued, requests not filled</t>
  </si>
  <si>
    <t>Numeric 10,694</t>
  </si>
  <si>
    <t>0 | 505 | 275</t>
  </si>
  <si>
    <t>99 blanks; 43 rows hold the placeholder -999 (unknown).</t>
  </si>
  <si>
    <t>requested_qty</t>
  </si>
  <si>
    <t>Units requested by the wards</t>
  </si>
  <si>
    <t>82 | 99 | 58</t>
  </si>
  <si>
    <t>99 blanks; 18 rows where requested differs from dispensed + unmet (all three present).</t>
  </si>
  <si>
    <t>requested = dispensed + unmet check</t>
  </si>
  <si>
    <t>dispensed_qty</t>
  </si>
  <si>
    <t>Units actually issued</t>
  </si>
  <si>
    <t>Numeric 10,445</t>
  </si>
  <si>
    <t>348 blanks; maximum 37,205; 3 values above 5,000 are flagged, not deleted.</t>
  </si>
  <si>
    <t>unmet_demand_qty</t>
  </si>
  <si>
    <t>Units requested but not issued (basis of the stockout)</t>
  </si>
  <si>
    <t>Numeric 9,115</t>
  </si>
  <si>
    <t>0 | 74 | 83</t>
  </si>
  <si>
    <t>1,678 blanks (15.5%); not random: H-C 1,464 of 2,597 rows (56.4%) versus 76 of 2,717 in H-A, 58 of 2,721 in H-B and 76 of 2,735 in H-D. A blank stays NULL, never zero.</t>
  </si>
  <si>
    <t>Stockout Day Flag; Stockout Rate; Unmet Demand EGP; Q02; Q15; Q16; Q19</t>
  </si>
  <si>
    <t>expired_writeoff_qty</t>
  </si>
  <si>
    <t>Units written off after expiry</t>
  </si>
  <si>
    <t>Expiry, breakage/loss, physical-count correction (+/-)</t>
  </si>
  <si>
    <t>0 | 103 | 837</t>
  </si>
  <si>
    <t>Wastage Value EGP; Q16</t>
  </si>
  <si>
    <t>damaged_lost_qty</t>
  </si>
  <si>
    <t>Units damaged or lost</t>
  </si>
  <si>
    <t>1 | 2 | 0</t>
  </si>
  <si>
    <t>stock_adjustment_qty</t>
  </si>
  <si>
    <t>Physical-count correction (+/-)</t>
  </si>
  <si>
    <t>-2 | 7 | 0</t>
  </si>
  <si>
    <t>No blanks; 2,308 negative adjustments (expected for corrections).</t>
  </si>
  <si>
    <t>closing_stock</t>
  </si>
  <si>
    <t>Units in stock at the end of the day</t>
  </si>
  <si>
    <t>Numeric 10,596 + Text 43</t>
  </si>
  <si>
    <t>582 | 488 | 429</t>
  </si>
  <si>
    <t>154 blanks + 43 text values (- 15; ? 13; thousands-separator numbers 15) + 46 negative values.</t>
  </si>
  <si>
    <t>stock_value_egp</t>
  </si>
  <si>
    <t>Value of closing stock in EGP (closing_stock × item cost)</t>
  </si>
  <si>
    <t>closing_stock x item cost</t>
  </si>
  <si>
    <t>Decimal (EGP)</t>
  </si>
  <si>
    <t>Numeric 10,471 + Text 86</t>
  </si>
  <si>
    <t>10476 | 8784 | 7722</t>
  </si>
  <si>
    <t>236 blanks + 86 text values carrying a currency prefix (for example EGP 1,234.50). Not used in the 21 questions.</t>
  </si>
  <si>
    <t>avg_daily_dispensed_7d</t>
  </si>
  <si>
    <t>7-day rolling average of daily issue</t>
  </si>
  <si>
    <t>7-day rolling average issue and stock cover in days</t>
  </si>
  <si>
    <t>Decimal</t>
  </si>
  <si>
    <t>Numeric 10,549</t>
  </si>
  <si>
    <t>91.7 | 83.2 | 113.8</t>
  </si>
  <si>
    <t>244 blanks (blank in the first days of the period).</t>
  </si>
  <si>
    <t>days_of_cover</t>
  </si>
  <si>
    <t>Days the closing stock lasts at recent usage</t>
  </si>
  <si>
    <t>Decimal (days)</t>
  </si>
  <si>
    <t>Numeric 10,077 + Text 92</t>
  </si>
  <si>
    <t>5.3 | 5.2 | 1.7</t>
  </si>
  <si>
    <t>624 blanks + 92 text values using a decimal comma (for example 4,3).</t>
  </si>
  <si>
    <t>fill_rate_pct</t>
  </si>
  <si>
    <t>Fill rate = dispensed / requested × 100</t>
  </si>
  <si>
    <t>dispensed / requested x 100</t>
  </si>
  <si>
    <t>Decimal (%)</t>
  </si>
  <si>
    <t>100 | 139.5 | 35.1</t>
  </si>
  <si>
    <t>127 values above 100% (maximum 140); 100 non-zero values of 1 or less (fractions instead of percentages): mixed units.</t>
  </si>
  <si>
    <t>Not used; fill ratio is calculated at purchase-order level (Q12)</t>
  </si>
  <si>
    <t>stock_expiring_30d_qty</t>
  </si>
  <si>
    <t>Units expiring within 30 days</t>
  </si>
  <si>
    <t>Units expiring within 30 days, hospital reorder point, 1 if unmet_demand_qty &gt; 0</t>
  </si>
  <si>
    <t>0 | 75 | 220</t>
  </si>
  <si>
    <t>reorder_point</t>
  </si>
  <si>
    <t>Hospital reorder point</t>
  </si>
  <si>
    <t>Numeric 10,538</t>
  </si>
  <si>
    <t>425 | 683 | 259</t>
  </si>
  <si>
    <t>255 blanks.</t>
  </si>
  <si>
    <t>stockout_flag</t>
  </si>
  <si>
    <t>1 if unmet_demand_qty &gt; 0 (as described in the source)</t>
  </si>
  <si>
    <t>Integer (0/1)</t>
  </si>
  <si>
    <t>Numeric 10,590 + Text 203</t>
  </si>
  <si>
    <t>0 | 1 | FALSE</t>
  </si>
  <si>
    <t>6 encodings (0, 1, Y, N, TRUE, FALSE). After standardization: 29 rows = 0 although unmet &gt; 0; 79 rows = 1 although unmet = 0; 225 rows = 1 while unmet is blank. Stockout is calculated from unmet_demand_qty.</t>
  </si>
  <si>
    <t>Compared with the Stockout Day Flag derived from unmet_demand_qty; Q15</t>
  </si>
  <si>
    <t>purchase_orders</t>
  </si>
  <si>
    <t>po_id</t>
  </si>
  <si>
    <t>Purchase order number</t>
  </si>
  <si>
    <t>Order, promised and actual receipt</t>
  </si>
  <si>
    <t>Text 2,187</t>
  </si>
  <si>
    <t>PO-000001 | PO-000002 | PO-000003</t>
  </si>
  <si>
    <t>24 extra rows (2,187 rows / 2,163 unique): 19 exact copies + 5 po_id values that appear twice with different content (10 rows; decision required, no automatic deletion).</t>
  </si>
  <si>
    <t>Fact_PO (after duplicate resolution)</t>
  </si>
  <si>
    <t>order_date</t>
  </si>
  <si>
    <t>Date the order was issued</t>
  </si>
  <si>
    <t>Numeric 8 + Text 2,179</t>
  </si>
  <si>
    <t>2026-01-05 | 2026-01-09 | 2026-01-13</t>
  </si>
  <si>
    <t>Mixed formats: ISO text 2,095 / dd/mm/yyyy text 61 / dd-Mon-yy text 23 / Excel serial number 8. 4 ISO dates fall outside the expected period; 21 of 61 dd/mm/yyyy values are ambiguous (day-first places all inside the period, month-first only 5).</t>
  </si>
  <si>
    <t>Actual PO Lead Time; Q14</t>
  </si>
  <si>
    <t>H-A | H_A | h-a</t>
  </si>
  <si>
    <t>17 raw variants; H-E is not in hospitals (4 rows).</t>
  </si>
  <si>
    <t>I001 | I002 | I003</t>
  </si>
  <si>
    <t>32 raw variants; orphan codes I099 and I3O1 (8 rows).</t>
  </si>
  <si>
    <t>Q14 (via items.baseline_lead_time_days and items.category)</t>
  </si>
  <si>
    <t>supplier_id</t>
  </si>
  <si>
    <t>Supplier code (clean key in the source)</t>
  </si>
  <si>
    <t>Clean key and clerk-typed name</t>
  </si>
  <si>
    <t>FK → suppliers</t>
  </si>
  <si>
    <t>S01 | S02 | S03</t>
  </si>
  <si>
    <t>All values exist in suppliers; S09 (RDC) appears in 1 row only; 12 rows use a supplier different from the item's default supplier.</t>
  </si>
  <si>
    <t>Q12</t>
  </si>
  <si>
    <t>supplier_name_raw</t>
  </si>
  <si>
    <t>Supplier name as typed by the clerk (raw)</t>
  </si>
  <si>
    <t>Alpha General Pharma | Alpha  General Pharma | Beta Antibiotics Co.</t>
  </si>
  <si>
    <t>25 spellings for 9 suppliers.</t>
  </si>
  <si>
    <t>Reference</t>
  </si>
  <si>
    <t>Not used; supplier_id is used instead</t>
  </si>
  <si>
    <t>qty_ordered</t>
  </si>
  <si>
    <t>Quantity ordered</t>
  </si>
  <si>
    <t>Quantities, price, status</t>
  </si>
  <si>
    <t>Numeric 2,187</t>
  </si>
  <si>
    <t>505 | 275 | 325</t>
  </si>
  <si>
    <t>10 rows with a value of 0 or less (impossible; flagged).</t>
  </si>
  <si>
    <t>PO Fill Ratio; Q12</t>
  </si>
  <si>
    <t>expected_delivery_date</t>
  </si>
  <si>
    <t>Promised receipt date</t>
  </si>
  <si>
    <t>2026-01-11 | 2026-01-15 | 2026-01-19</t>
  </si>
  <si>
    <t>All 2,187 values are ISO text; 10 rows have an expected date earlier than the order date.</t>
  </si>
  <si>
    <t>PO Delay Days; PO On-Time Rate; Q12; Q13</t>
  </si>
  <si>
    <t>received_date</t>
  </si>
  <si>
    <t>Actual receipt date</t>
  </si>
  <si>
    <t>Text 1,993</t>
  </si>
  <si>
    <t>2026-01-09 | 2026-01-12 | 2026-01-17</t>
  </si>
  <si>
    <t>194 blanks (includes orders not yet received); 25 Received / Partially Received orders have no received_date; 14 rows are received before the order date; 1 In Transit order has a received date.</t>
  </si>
  <si>
    <t>PO Delay Days; PO On-Time Rate; Actual PO Lead Time; Q02; Q12; Q13; Q14</t>
  </si>
  <si>
    <t>qty_received</t>
  </si>
  <si>
    <t>Quantity actually received</t>
  </si>
  <si>
    <t>Numeric 1,993 + Text 15</t>
  </si>
  <si>
    <t>179 blanks + 15 text values (unknown; see GRN); 8 Received orders with quantity 0; 16 orders received more than 20% above the quantity ordered.</t>
  </si>
  <si>
    <t>unit_cost_egp</t>
  </si>
  <si>
    <t>Unit cost in EGP</t>
  </si>
  <si>
    <t>Numeric 2,125 + Text 62</t>
  </si>
  <si>
    <t>18.32 | 18.04 | 19.35</t>
  </si>
  <si>
    <t>62 text values with currency symbols (EGP prefix or $): mixed currency.</t>
  </si>
  <si>
    <t>Not used; PO value is not part of the 21 questions</t>
  </si>
  <si>
    <t>po_status</t>
  </si>
  <si>
    <t>Order status</t>
  </si>
  <si>
    <t>Received | received | RECEIVED</t>
  </si>
  <si>
    <t>14 raw variants → 4 statuses: Received 1,758, Partially Received 251, In Transit 170, Rejected 8.</t>
  </si>
  <si>
    <t>Q13</t>
  </si>
  <si>
    <t>patient_cases</t>
  </si>
  <si>
    <t>case_id</t>
  </si>
  <si>
    <t>Anonymous case identifier</t>
  </si>
  <si>
    <t>Anonymous case, hospital, admission day</t>
  </si>
  <si>
    <t>Text 5,665</t>
  </si>
  <si>
    <t>C000001 | C000002 | C000003</t>
  </si>
  <si>
    <t>67 extra rows (5,665 rows / 5,598 unique); all exact copies. 98 identifiers do not follow the C000000 pattern.</t>
  </si>
  <si>
    <t>Fact_Cases; Q02; Q17; Q20</t>
  </si>
  <si>
    <t>17 raw variants; H-E is not in hospitals (10 rows).</t>
  </si>
  <si>
    <t>Q20</t>
  </si>
  <si>
    <t>admission_date</t>
  </si>
  <si>
    <t>Patient admission day</t>
  </si>
  <si>
    <t>Numeric 13 + Text 5,652</t>
  </si>
  <si>
    <t>2026-01-01 | 01-Jan-26 | 01/01/2026</t>
  </si>
  <si>
    <t>Mixed formats: ISO text 5,379 / dd/mm/yyyy text 223 / dd-Mon-yy text 50 / Excel serial number 13. 4 ISO dates fall outside the expected period (2027); 95 of 223 dd/mm/yyyy values are ambiguous (day-first places all inside the period, month-first only 25).</t>
  </si>
  <si>
    <t>Analytic join with inventory_daily; Q19</t>
  </si>
  <si>
    <t>age_years</t>
  </si>
  <si>
    <t>Age in years (newborn ages are sometimes written in days)</t>
  </si>
  <si>
    <t>Demographics and clinical group (13 diagnoses)</t>
  </si>
  <si>
    <t>Decimal (years)</t>
  </si>
  <si>
    <t>Numeric 5,414 + Text 44</t>
  </si>
  <si>
    <t>73 | 74 | 63</t>
  </si>
  <si>
    <t>207 blanks + 44 text values written in days (for example 5 days) + 15 impossible values (negative or above 120).</t>
  </si>
  <si>
    <t>gender</t>
  </si>
  <si>
    <t>Gender</t>
  </si>
  <si>
    <t>Text 5,532</t>
  </si>
  <si>
    <t>M | F | m</t>
  </si>
  <si>
    <t>8 raw spellings (M, Male, male, m, F, Female, female, f) + 133 blanks.</t>
  </si>
  <si>
    <t>diagnosis</t>
  </si>
  <si>
    <t>Diagnosis (13 diagnosis groups in the source dictionary)</t>
  </si>
  <si>
    <t>Sepsis | Pneumonia | Diabetic Ketoacidosis</t>
  </si>
  <si>
    <t>33 raw spellings against 13 documented groups (23 after trim / case / trailing-period normalization alone); needs a documented mapping.</t>
  </si>
  <si>
    <t>severity</t>
  </si>
  <si>
    <t>Case severity (confounder)</t>
  </si>
  <si>
    <t>Numeric 107 + Text 5,311</t>
  </si>
  <si>
    <t>Moderate | Low | High</t>
  </si>
  <si>
    <t>247 blanks, not random (H-C 91 of 634 = 14.4% versus 3.0% to 3.6% in H-A, H-B and H-D); mixed coding: Low / Moderate / High (5,311 rows) with numeric 1 / 2 / 3 (107 rows, meaning not documented).</t>
  </si>
  <si>
    <t>Q18 (death share within severity level)</t>
  </si>
  <si>
    <t>key_drug_item_id</t>
  </si>
  <si>
    <t>Main drug needed on admission</t>
  </si>
  <si>
    <t>Main drug needed on admission; join to inventory_daily by hospital + date + item</t>
  </si>
  <si>
    <t>I004 | I002 | I024</t>
  </si>
  <si>
    <t>36 raw variants → 20 after standardization (19 valid items + orphan I000, 22 rows).</t>
  </si>
  <si>
    <t>Q19</t>
  </si>
  <si>
    <t>treatment_status</t>
  </si>
  <si>
    <t>Treatment status</t>
  </si>
  <si>
    <t>Given on time / Delayed / Substitute / Not given ... and delay hours</t>
  </si>
  <si>
    <t>Given on time | Delayed - other cause | Not given</t>
  </si>
  <si>
    <t>6 clean categories: Given on time 4,515; Substitute used 367; Delayed - stock unavailable 308; Delayed - other cause 267; Not given - transferred 105; Not given 103.</t>
  </si>
  <si>
    <t>Q17; Q18; Q19; Q20</t>
  </si>
  <si>
    <t>treatment_delay_hours</t>
  </si>
  <si>
    <t>Hours of delay before treatment started</t>
  </si>
  <si>
    <t>Decimal (hours)</t>
  </si>
  <si>
    <t>Numeric 5,503 + Text 59</t>
  </si>
  <si>
    <t>0.1 | 0.8 | 0.5</t>
  </si>
  <si>
    <t>103 blanks + 59 text values with an h suffix (for example 2.4h) + 14 negative + 14 placeholder values of 999 (unknown).</t>
  </si>
  <si>
    <t>Treatment Delay Hours; Q17</t>
  </si>
  <si>
    <t>icu_admission</t>
  </si>
  <si>
    <t>Whether the patient entered intensive care (Y/N)</t>
  </si>
  <si>
    <t>Course and result</t>
  </si>
  <si>
    <t>Text (Y/N)</t>
  </si>
  <si>
    <t>N | Y | Yes</t>
  </si>
  <si>
    <t>6 raw variants (Y, N, Yes, No, y, n).</t>
  </si>
  <si>
    <t>Patient Outcomes; Q18</t>
  </si>
  <si>
    <t>complication</t>
  </si>
  <si>
    <t>Whether a complication occurred (Y/N)</t>
  </si>
  <si>
    <t>4 raw variants (Y, N, Yes, No).</t>
  </si>
  <si>
    <t>length_of_stay_days</t>
  </si>
  <si>
    <t>Length of stay in days</t>
  </si>
  <si>
    <t>Numeric 5,202 + Text 52</t>
  </si>
  <si>
    <t>12 | 5 | 3</t>
  </si>
  <si>
    <t>411 blanks (includes patients not yet discharged) + 52 text values (for example 6 days) + impossible values (6 negative, 13 above 365).</t>
  </si>
  <si>
    <t>discharge_date</t>
  </si>
  <si>
    <t>Discharge date</t>
  </si>
  <si>
    <t>Text 5,216</t>
  </si>
  <si>
    <t>2026-01-13 | 2026-01-06 | 2026-01-04</t>
  </si>
  <si>
    <t>449 blanks (includes Still admitted); 33 rows are discharged before admission.</t>
  </si>
  <si>
    <t>outcome</t>
  </si>
  <si>
    <t>Outcome: Recovered / Died / Still admitted / Transferred out</t>
  </si>
  <si>
    <t>Text 5,626</t>
  </si>
  <si>
    <t>Recovered | Died | Transferred out</t>
  </si>
  <si>
    <t>39 blanks; Recovered 4,818, Still admitted 407, Died 335, Transferred out 66. Death share = Died / (Died + Recovered).</t>
  </si>
  <si>
    <t>Patient Outcomes; Shortage Mortality; Q18</t>
  </si>
  <si>
    <t>items</t>
  </si>
  <si>
    <t>Hospital - Reference</t>
  </si>
  <si>
    <t>Item code (I001 to I030)</t>
  </si>
  <si>
    <t>Item code in the retained item catalog (I001–I030)</t>
  </si>
  <si>
    <t>Text 30</t>
  </si>
  <si>
    <t>30 unique values.</t>
  </si>
  <si>
    <t>Dim_Item</t>
  </si>
  <si>
    <t>item_name</t>
  </si>
  <si>
    <t>Item name</t>
  </si>
  <si>
    <t>Paracetamol 1g/100ml IV | Ceftriaxone 1g inj | Meropenem 1g inj</t>
  </si>
  <si>
    <t>30 distinct values.</t>
  </si>
  <si>
    <t>category</t>
  </si>
  <si>
    <t>Item category</t>
  </si>
  <si>
    <t>Analgesic | Antibiotic | Antidiabetic</t>
  </si>
  <si>
    <t>18 raw categories for 30 items; grouped only by explicit rules.</t>
  </si>
  <si>
    <t>Q14; Q16</t>
  </si>
  <si>
    <t>criticality</t>
  </si>
  <si>
    <t>Criticality: Critical or Essential (author assumption)</t>
  </si>
  <si>
    <t>Critical = life-threatening if unavailable; Essential = substitutes usually exist</t>
  </si>
  <si>
    <t>Essential | Critical</t>
  </si>
  <si>
    <t>14 Critical + 16 Essential (assumption of the data author).</t>
  </si>
  <si>
    <t>unit</t>
  </si>
  <si>
    <t>Unit of measure (vial, bag, pen, etc.)</t>
  </si>
  <si>
    <t>vial | bag | pen</t>
  </si>
  <si>
    <t>Unit cost in EGP (illustrative)</t>
  </si>
  <si>
    <t>Unit cost in EGP; I031-I035 = median pack price in 'in' x assumed 50 EGP/USD</t>
  </si>
  <si>
    <t>Numeric 30</t>
  </si>
  <si>
    <t>18 | 22 | 95</t>
  </si>
  <si>
    <t>30 valid numeric values; illustrative cost, so values are estimates.</t>
  </si>
  <si>
    <t>Unmet Demand EGP; Wastage Value EGP; Q02; Q16</t>
  </si>
  <si>
    <t>shelf_life_days</t>
  </si>
  <si>
    <t>Shelf life in days</t>
  </si>
  <si>
    <t>730 | 540 | 1095</t>
  </si>
  <si>
    <t>4 distinct values.</t>
  </si>
  <si>
    <t>cold_chain</t>
  </si>
  <si>
    <t>Whether cold chain storage is required (Y/N)</t>
  </si>
  <si>
    <t>N | Y</t>
  </si>
  <si>
    <t>N 27, Y 3.</t>
  </si>
  <si>
    <t>Q16</t>
  </si>
  <si>
    <t>default_supplier_id</t>
  </si>
  <si>
    <t>Default supplier of the item</t>
  </si>
  <si>
    <t>8 distinct suppliers; all exist in suppliers.</t>
  </si>
  <si>
    <t>baseline_lead_time_days</t>
  </si>
  <si>
    <t>Baseline lead time in days</t>
  </si>
  <si>
    <t>4 | 5 | 6</t>
  </si>
  <si>
    <t>6 distinct values.</t>
  </si>
  <si>
    <t>Lead Time vs Baseline; Q14</t>
  </si>
  <si>
    <t>suppliers</t>
  </si>
  <si>
    <t>Supplier code (S09 = SCMS regional distribution centre)</t>
  </si>
  <si>
    <t>Nine suppliers; S09 = SCMS regional distribution centre</t>
  </si>
  <si>
    <t>Text 9</t>
  </si>
  <si>
    <t>9 unique values; S09 is the RDC, kept apart from the actual suppliers.</t>
  </si>
  <si>
    <t>Dim_Supplier; Q12</t>
  </si>
  <si>
    <t>supplier_name</t>
  </si>
  <si>
    <t>Supplier name</t>
  </si>
  <si>
    <t>Alpha General Pharma | Beta Antibiotics Co. | Gamma Hospital Supplies</t>
  </si>
  <si>
    <t>9 distinct values.</t>
  </si>
  <si>
    <t>historical_on_time_rate</t>
  </si>
  <si>
    <t>Historical on-time rate (reference, not a substitute for the PO calculation)</t>
  </si>
  <si>
    <t>Decimal (0-1)</t>
  </si>
  <si>
    <t>Numeric 9</t>
  </si>
  <si>
    <t>0.93 | 0.9 | 0.92</t>
  </si>
  <si>
    <t>9 numeric values (8 distinct).</t>
  </si>
  <si>
    <t>Q12 (comparison only)</t>
  </si>
  <si>
    <t>hospitals</t>
  </si>
  <si>
    <t>Hospital code (H-A to H-D)</t>
  </si>
  <si>
    <t>Four fictional hospitals</t>
  </si>
  <si>
    <t>Text 4</t>
  </si>
  <si>
    <t>H-A | H-B | H-C</t>
  </si>
  <si>
    <t>4 unique values; child tables also contain H-E, which does not exist here.</t>
  </si>
  <si>
    <t>Dim_Hospital</t>
  </si>
  <si>
    <t>hospital_name</t>
  </si>
  <si>
    <t>Hospital name (four fictional hospitals)</t>
  </si>
  <si>
    <t>Hospital A - University Teachi | Hospital B - General Hospital | Hospital C - District Hospital</t>
  </si>
  <si>
    <t>Q15; Q20</t>
  </si>
  <si>
    <t>hospital_type</t>
  </si>
  <si>
    <t>Hospital type</t>
  </si>
  <si>
    <t>Teaching | General | District</t>
  </si>
  <si>
    <t>Teaching, General, District, Specialty.</t>
  </si>
  <si>
    <t>beds</t>
  </si>
  <si>
    <t>Number of beds</t>
  </si>
  <si>
    <t>Numeric 4</t>
  </si>
  <si>
    <t>600 | 350 | 150</t>
  </si>
  <si>
    <t>4 numeric values.</t>
  </si>
  <si>
    <t>Dictionary vs Actual File</t>
  </si>
  <si>
    <t>Test: every column in the file has a description in the source data_dictionary and every description has a column. Then: differences between what the source states and what the file contains. All counts are calculated from Data_Final_project_IR.xlsx.</t>
  </si>
  <si>
    <t>A. Column-name match (file columns vs source data_dictionary)</t>
  </si>
  <si>
    <t>Columns in file</t>
  </si>
  <si>
    <t>Documented columns</t>
  </si>
  <si>
    <t>File columns without a description</t>
  </si>
  <si>
    <t>Descriptions without a file column / Result</t>
  </si>
  <si>
    <t>None</t>
  </si>
  <si>
    <t>None - Match</t>
  </si>
  <si>
    <t>hospital_id, item_id</t>
  </si>
  <si>
    <t>None - Difference</t>
  </si>
  <si>
    <t>item_name, category, unit, shelf_life_days, cold_chain, default_supplier_id, baseline_lead_time_days</t>
  </si>
  <si>
    <t>B. Differences between the source description and the actual file</t>
  </si>
  <si>
    <t>Table · Column / Topic</t>
  </si>
  <si>
    <t>What the source states</t>
  </si>
  <si>
    <t>What the file shows</t>
  </si>
  <si>
    <t>Effect on the analysis</t>
  </si>
  <si>
    <t>Handling in the project</t>
  </si>
  <si>
    <t>in · shipment mode</t>
  </si>
  <si>
    <t>Air / Air Charter / Truck / Ocean; blank in about 3.5% of rows.</t>
  </si>
  <si>
    <t>45 Air + 1 blank (2.2%); a single transport mode.</t>
  </si>
  <si>
    <t>Modes cannot be compared; the analysis is not built on mode comparisons.</t>
  </si>
  <si>
    <t>Reported as a fact; no mode comparison is shown.</t>
  </si>
  <si>
    <t>in · fulfill via</t>
  </si>
  <si>
    <t>Direct Drop (from vendor) or From RDC (regional distribution centre).</t>
  </si>
  <si>
    <t>All 46 rows = Direct Drop; no From RDC value.</t>
  </si>
  <si>
    <t>No shipment line is supplied from the regional distribution centre; S09 (RDC) appears only in purchase_orders (1 row).</t>
  </si>
  <si>
    <t>Documented; vendors are analysed as recorded.</t>
  </si>
  <si>
    <t>in · vendor inco term</t>
  </si>
  <si>
    <t>'N/A - From RDC' when supplied from stock.</t>
  </si>
  <si>
    <t>EXW 42, CIP 3, CIF 1; the value N/A - From RDC does not occur.</t>
  </si>
  <si>
    <t>None.</t>
  </si>
  <si>
    <t>Documented.</t>
  </si>
  <si>
    <t>in · weight (kilograms)</t>
  </si>
  <si>
    <t>Text values in about 38% of rows.</t>
  </si>
  <si>
    <t>8 of 46 rows are text (17.4%); 38 numeric.</t>
  </si>
  <si>
    <t>Freight per Kg is calculated on 38 records.</t>
  </si>
  <si>
    <t>Percentages in the source description are not used; actual counts are.</t>
  </si>
  <si>
    <t>in · freight cost (usd)</t>
  </si>
  <si>
    <t>Text values in about 40% of rows.</t>
  </si>
  <si>
    <t>Freight/Value is calculated on 38 numeric records (SUM / SUM).</t>
  </si>
  <si>
    <t>Actual counts are used; the excluded count is shown.</t>
  </si>
  <si>
    <t>in · line item insurance (usd)</t>
  </si>
  <si>
    <t>Blank in about 3% of rows.</t>
  </si>
  <si>
    <t>No blank; 46 valid numeric values.</t>
  </si>
  <si>
    <t>Insurance/Value is calculated on all 46 records.</t>
  </si>
  <si>
    <t>in · scheduled vs delivered date</t>
  </si>
  <si>
    <t>kpi_definitions (Upstream delay): median 0 days in source.</t>
  </si>
  <si>
    <t>0 late / 44 on schedule / 2 early (earliest 169 days before schedule).</t>
  </si>
  <si>
    <t>No shipment is late; delay rankings carry no information.</t>
  </si>
  <si>
    <t>Schedule Status is reported with its denominator (Q04); no delay ranking is built.</t>
  </si>
  <si>
    <t>in · expiry_date and delivered to client date</t>
  </si>
  <si>
    <t>Expiry date of the delivered lot (at least 50% shelf life remaining when clean).</t>
  </si>
  <si>
    <t>2 of the 43 valid expiry dates are earlier than the delivery date (115 and 212 days earlier).</t>
  </si>
  <si>
    <t>Negative shelf life at delivery.</t>
  </si>
  <si>
    <t>Records are listed in a dedicated table (Q07), not deleted.</t>
  </si>
  <si>
    <t>items · unit_cost_egp</t>
  </si>
  <si>
    <t>I031 to I035 = median pack price in sheet in × assumed 50 EGP/USD.</t>
  </si>
  <si>
    <t>The file contains I001 to I030 only (30 items).</t>
  </si>
  <si>
    <t>No effect on calculations.</t>
  </si>
  <si>
    <t>items · documentation coverage</t>
  </si>
  <si>
    <t>Only item_id, unit_cost_egp and criticality are described.</t>
  </si>
  <si>
    <t>10 columns in the file; 7 have no description in the source.</t>
  </si>
  <si>
    <t>None on calculations.</t>
  </si>
  <si>
    <t>Meanings are written in this dictionary and marked as not documented in source.</t>
  </si>
  <si>
    <t>patient_cases · diagnosis</t>
  </si>
  <si>
    <t>13 diagnosis groups.</t>
  </si>
  <si>
    <t>33 raw spellings (23 after trim / case / trailing-period normalization).</t>
  </si>
  <si>
    <t>Diagnosis groups split across spellings.</t>
  </si>
  <si>
    <t>Documented mapping to the 13 groups before aggregation (Q20).</t>
  </si>
  <si>
    <t>purchase_orders · scms_shipment_id</t>
  </si>
  <si>
    <t>issues_answer_key lists this column (16 missing, 4 orphan values).</t>
  </si>
  <si>
    <t>The column does not exist in purchase_orders (12 columns).</t>
  </si>
  <si>
    <t>No link between purchase_orders and sheet in.</t>
  </si>
  <si>
    <t>Consistent with keeping the shipments and hospital families separate.</t>
  </si>
  <si>
    <t>issues_answer_key · rows_affected_approx</t>
  </si>
  <si>
    <t>Approximate counts, for example 1,220 rows for batch_number formats.</t>
  </si>
  <si>
    <t>Sheet in has 46 rows.</t>
  </si>
  <si>
    <t>The counts describe a larger version of the data.</t>
  </si>
  <si>
    <t>Not used as facts; every number is recalculated from the file.</t>
  </si>
  <si>
    <t>inventory_daily · stockout_flag</t>
  </si>
  <si>
    <t>1 if unmet_demand_qty &gt; 0.</t>
  </si>
  <si>
    <t>After standardization: 29 rows = 0 although unmet &gt; 0; 79 rows = 1 although unmet = 0; 225 rows = 1 while unmet is blank.</t>
  </si>
  <si>
    <t>The column and the definition give different Stockout Rates.</t>
  </si>
  <si>
    <t>Stockout Day Flag is derived from unmet_demand_qty; the column is for comparison only.</t>
  </si>
  <si>
    <t>inventory_daily · requested vs dispensed + unmet</t>
  </si>
  <si>
    <t>requested = dispensed + unmet.</t>
  </si>
  <si>
    <t>18 rows where all three are present and the equation does not hold.</t>
  </si>
  <si>
    <t>Minor inconsistency in the demand quantities.</t>
  </si>
  <si>
    <t>Flagged, not corrected.</t>
  </si>
  <si>
    <t>inventory_daily · closing stock equation</t>
  </si>
  <si>
    <t>closing = opening + received - dispensed - expired - damaged + adjustment.</t>
  </si>
  <si>
    <t>215 of 10,119 testable rows do not satisfy the equation (rows with every component numeric and received_qty other than -999).</t>
  </si>
  <si>
    <t>Closing stock cannot always be reproduced from its components.</t>
  </si>
  <si>
    <t>Used for validation only; closing_stock does not feed any of the 21 questions.</t>
  </si>
  <si>
    <t>inventory_daily · unmet_demand_qty</t>
  </si>
  <si>
    <t>Requests not filled (basis of the stockout).</t>
  </si>
  <si>
    <t>1,678 blanks (15.5%); H-C 1,464 of 2,597 rows (56.4%).</t>
  </si>
  <si>
    <t>Stockout Rate for H-C is understated when blanks are excluded.</t>
  </si>
  <si>
    <t>Blanks stay NULL; blank counts are shown by hospital.</t>
  </si>
  <si>
    <t>kpi_definitions · suggested_target</t>
  </si>
  <si>
    <t>The suggested_target column has 11 entries; 5 are labelled (assumption): Stockout &lt; 5% for Critical items, Fill rate &gt;= 95%, Days of cover 7-30, Wastage &lt; 2%, PO on-time &gt;= 90%.</t>
  </si>
  <si>
    <t>Data completeness (at least 98%) and duplicate rate (0%) are stated as targets without the (assumption) label.</t>
  </si>
  <si>
    <t>Targets can be mistaken for findings.</t>
  </si>
  <si>
    <t>Shown as stated or assumed targets, never as results.</t>
  </si>
  <si>
    <t>Keys &amp; Relationships</t>
  </si>
  <si>
    <t>Test of the 9 relationships in schema_relationships: parent key uniqueness and the number of child rows without a parent, before and after simple standardization (trim, upper case, replace _ with -). No record is deleted at this stage.</t>
  </si>
  <si>
    <t>Parent Table</t>
  </si>
  <si>
    <t>Parent Key</t>
  </si>
  <si>
    <t>Child Table</t>
  </si>
  <si>
    <t>Child Key</t>
  </si>
  <si>
    <t>Cardinality</t>
  </si>
  <si>
    <t>Parent Key Test</t>
  </si>
  <si>
    <t>Child Rows</t>
  </si>
  <si>
    <t>Orphans Before Standardization</t>
  </si>
  <si>
    <t>Orphans After Standardization</t>
  </si>
  <si>
    <t>% Orphans After</t>
  </si>
  <si>
    <t>Orphan Values After Standardization</t>
  </si>
  <si>
    <t>1 : N</t>
  </si>
  <si>
    <t>Unique</t>
  </si>
  <si>
    <t>H-E</t>
  </si>
  <si>
    <t>I000, I099, I3O1 (letter O instead of zero)</t>
  </si>
  <si>
    <t>I099, I3O1</t>
  </si>
  <si>
    <t>I000</t>
  </si>
  <si>
    <t>hospital_id + item_id + date</t>
  </si>
  <si>
    <t>hospital_id + key_drug_item_id + admission_date</t>
  </si>
  <si>
    <t>1 : N (analytic join)</t>
  </si>
  <si>
    <t>Requires duplicate removal first</t>
  </si>
  <si>
    <t>Cases whose hospital, key drug and admission day have no inventory row; approximate: dates read day-first, exact duplicate inventory rows removed. Inventory key duplicates (hospital + item + day): 217 before and 55 after removing exact copies.</t>
  </si>
  <si>
    <t>Rules</t>
  </si>
  <si>
    <t>Model rule</t>
  </si>
  <si>
    <t>The shipments family (sheet in) and the hospital family are separate: no direct relationship and no fact-to-fact link. The reference tables hospitals, items and suppliers are 1:N dimensions of the hospital family only.</t>
  </si>
  <si>
    <t>Parent keys</t>
  </si>
  <si>
    <t>hospitals.hospital_id: 4 unique values · items.item_id: 30 unique values · suppliers.supplier_id: 9 unique values.</t>
  </si>
  <si>
    <t>Before / After Standardization Counts</t>
  </si>
  <si>
    <t>Before = calculated from the file as received. After = the value expected when the written rule is applied; the actual application is documented in the cleaning logs. Nothing is deleted before the duplicate key is identified.</t>
  </si>
  <si>
    <t>Measure</t>
  </si>
  <si>
    <t>Before</t>
  </si>
  <si>
    <t>After (Expected)</t>
  </si>
  <si>
    <t>Standardization Rule</t>
  </si>
  <si>
    <t>Note</t>
  </si>
  <si>
    <t>Data rows</t>
  </si>
  <si>
    <t>No change</t>
  </si>
  <si>
    <t>46 unique id values.</t>
  </si>
  <si>
    <t>Remove 162 exact duplicate rows (repeated record_id)</t>
  </si>
  <si>
    <t>55 duplicates of the key hospital + item + day remain after removing exact copies; they hold different data and need a separate decision after review.</t>
  </si>
  <si>
    <t>Remove 19 exact duplicate rows</t>
  </si>
  <si>
    <t>5 po_id values still appear twice with different content (10 rows); a documented decision is needed, so there is no automatic deletion. One row per po_id would give 2,163 rows.</t>
  </si>
  <si>
    <t>Remove 67 exact duplicate rows</t>
  </si>
  <si>
    <t>All duplicates are exact copies.</t>
  </si>
  <si>
    <t>Distinct hospital_id spellings</t>
  </si>
  <si>
    <t>trim + upper case + replace _ with -</t>
  </si>
  <si>
    <t>4 hospitals + H-E (orphan).</t>
  </si>
  <si>
    <t>Same rule</t>
  </si>
  <si>
    <t>Distinct item_id spellings</t>
  </si>
  <si>
    <t>trim + upper case</t>
  </si>
  <si>
    <t>30 items + 3 orphan codes (I000, I099, I3O1).</t>
  </si>
  <si>
    <t>Distinct key_drug_item_id spellings</t>
  </si>
  <si>
    <t>19 valid items + orphan I000.</t>
  </si>
  <si>
    <t>Distinct po_status spellings</t>
  </si>
  <si>
    <t>trim + lower case</t>
  </si>
  <si>
    <t>Received / Partially Received / In Transit / Rejected.</t>
  </si>
  <si>
    <t>Distinct stockout_flag encodings</t>
  </si>
  <si>
    <t>Y / TRUE / 1 → 1 ; N / FALSE / 0 → 0</t>
  </si>
  <si>
    <t>Not relied upon; the indicator is calculated from unmet_demand_qty.</t>
  </si>
  <si>
    <t>Distinct gender spellings</t>
  </si>
  <si>
    <t>M / Male / male / m → M ; F / Female / female / f → F</t>
  </si>
  <si>
    <t>133 blanks stay NULL.</t>
  </si>
  <si>
    <t>Distinct icu_admission spellings</t>
  </si>
  <si>
    <t>Y / Yes / y → Y ; N / No / n → N</t>
  </si>
  <si>
    <t>Distinct complication spellings</t>
  </si>
  <si>
    <t>Y / Yes → Y ; N / No → N</t>
  </si>
  <si>
    <t>Distinct diagnosis spellings</t>
  </si>
  <si>
    <t>Documented mapping to the 13 diagnosis groups</t>
  </si>
  <si>
    <t>23 after trim / case / trailing-period normalization alone; the rest needs the mapping table.</t>
  </si>
  <si>
    <t>Distinct severity values</t>
  </si>
  <si>
    <t>Low / Moderate / High kept; numeric 1 / 2 / 3 not mapped</t>
  </si>
  <si>
    <t>107 rows hold numeric codes whose meaning is not documented; they are flagged, not assumed to be Low / Moderate / High.</t>
  </si>
  <si>
    <t>Text values in freight cost (usd)</t>
  </si>
  <si>
    <t>Text → NULL + flag (not zero)</t>
  </si>
  <si>
    <t>38 valid numeric values remain.</t>
  </si>
  <si>
    <t>Text values in weight (kilograms)</t>
  </si>
  <si>
    <t>Text values in po sent to vendor date</t>
  </si>
  <si>
    <t>Text → NULL + flag</t>
  </si>
  <si>
    <t>Lead Time is calculated for 45 records.</t>
  </si>
  <si>
    <t>Text values in pq first sent to client date</t>
  </si>
  <si>
    <t>Pre-PQ Process → NULL + status flag</t>
  </si>
  <si>
    <t>25 valid dates remain; the column does not enter any KPI.</t>
  </si>
  <si>
    <t>Text values in customs_clearance_days</t>
  </si>
  <si>
    <t>3 days → 3 ; ~6 → 6 with an approximate flag</t>
  </si>
  <si>
    <t>43 numeric values remain; 1 blank stays NULL.</t>
  </si>
  <si>
    <t>Distinct receiving_inspection_result spellings</t>
  </si>
  <si>
    <t>Case / spacing normalization; Pass, OK, Accepted - OK → Accepted; Accepted with remarks kept separate</t>
  </si>
  <si>
    <t>Mapping built from existing values only; 6 blanks stay NULL and are counted.</t>
  </si>
  <si>
    <t>Rows with a mis-encoded country value</t>
  </si>
  <si>
    <t>CÃ´te d'Ivoire → Côte d'Ivoire (mapping; raw value kept)</t>
  </si>
  <si>
    <t>The number of countries stays 7.</t>
  </si>
  <si>
    <t>Dates not in ISO format</t>
  </si>
  <si>
    <t>Convert: dd/mm/yyyy 417 + dd-Mon-yy 108 + Excel serial 43</t>
  </si>
  <si>
    <t>dd/mm/yyyy is read day-first (all 417 fall inside the period; month-first only 51). 43 ISO dates are outside 2026-01-01 to 2026-03-31 and are flagged.</t>
  </si>
  <si>
    <t>order_date values not in ISO format</t>
  </si>
  <si>
    <t>Convert: dd/mm/yyyy 61 + dd-Mon-yy 23 + Excel serial 8</t>
  </si>
  <si>
    <t>Day-first reading (all 61 inside the period; month-first only 5). 4 ISO dates outside the period are flagged.</t>
  </si>
  <si>
    <t>admission_date values not in ISO format</t>
  </si>
  <si>
    <t>Convert: dd/mm/yyyy 223 + dd-Mon-yy 50 + Excel serial 13</t>
  </si>
  <si>
    <t>Day-first reading (all 223 inside the period; month-first only 25). 4 ISO dates outside the period are flagged.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</si>
</sst>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  <scheme val="minor"/>
    </font>
    <font>
      <sz val="9"/>
      <color rgb="FFFFFFFF"/>
      <name val="Arial"/>
    </font>
    <font>
      <sz val="11"/>
      <name val="Calibri"/>
    </font>
    <font>
      <b/>
      <sz val="16"/>
      <color rgb="FF1F3864"/>
      <name val="Arial"/>
    </font>
    <font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5F8FC"/>
        <bgColor rgb="FFF5F8FC"/>
      </patternFill>
    </fill>
    <fill>
      <patternFill patternType="solid">
        <fgColor rgb="FF2F5597"/>
        <bgColor rgb="FF2F559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5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3" fontId="6" fillId="0" borderId="4" xfId="0" applyNumberFormat="1" applyFont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3" fontId="6" fillId="3" borderId="4" xfId="0" applyNumberFormat="1" applyFont="1" applyFill="1" applyBorder="1" applyAlignment="1">
      <alignment horizontal="center" vertical="top" wrapText="1"/>
    </xf>
    <xf numFmtId="10" fontId="6" fillId="0" borderId="4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8" fillId="4" borderId="1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b/>
        <sz val="9"/>
        <color rgb="FF006100"/>
        <name val="Arial"/>
      </font>
      <fill>
        <patternFill patternType="solid">
          <fgColor rgb="FFC6EFCE"/>
          <bgColor rgb="FFC6EFCE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sz val="9"/>
        <color rgb="FF006100"/>
        <name val="Arial"/>
      </font>
      <fill>
        <patternFill patternType="solid">
          <fgColor rgb="FFE2EFDA"/>
          <bgColor rgb="FFE2EFDA"/>
        </patternFill>
      </fill>
    </dxf>
    <dxf>
      <font>
        <b/>
        <sz val="9"/>
        <color rgb="FF9C5700"/>
        <name val="Arial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showGridLines="0" tabSelected="1" workbookViewId="0">
      <pane xSplit="4" ySplit="5" topLeftCell="E6" activePane="bottomRight" state="frozen"/>
      <selection pane="bottomLeft" activeCell="A6" sqref="A6"/>
      <selection pane="topRight" activeCell="E1" sqref="E1"/>
      <selection pane="bottomRight" activeCell="E6" sqref="E6"/>
    </sheetView>
  </sheetViews>
  <sheetFormatPr defaultColWidth="14.390625" defaultRowHeight="15" customHeight="1" x14ac:dyDescent="0.2"/>
  <cols>
    <col min="1" max="1" width="4.9765625" customWidth="1"/>
    <col min="2" max="3" width="14.9296875" customWidth="1"/>
    <col min="4" max="4" width="23.9453125" customWidth="1"/>
    <col min="5" max="5" width="37.93359375" customWidth="1"/>
    <col min="6" max="6" width="39.953125" customWidth="1"/>
    <col min="7" max="7" width="14.9296875" customWidth="1"/>
    <col min="8" max="8" width="23.9453125" customWidth="1"/>
    <col min="9" max="9" width="13.046875" customWidth="1"/>
    <col min="10" max="12" width="9.953125" customWidth="1"/>
    <col min="13" max="13" width="32.015625" customWidth="1"/>
    <col min="14" max="14" width="69.94921875" customWidth="1"/>
    <col min="15" max="15" width="18.96484375" customWidth="1"/>
    <col min="16" max="16" width="34.03125" customWidth="1"/>
    <col min="17" max="17" width="22.05859375" customWidth="1"/>
  </cols>
  <sheetData>
    <row r="1" spans="1:17" ht="24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ht="30" customHeight="1" x14ac:dyDescent="0.2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42" customHeight="1" x14ac:dyDescent="0.2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5" spans="1:17" ht="42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</row>
    <row r="6" spans="1:17" ht="27.75" customHeight="1" x14ac:dyDescent="0.2">
      <c r="A6" s="2">
        <v>1</v>
      </c>
      <c r="B6" s="3" t="s">
        <v>20</v>
      </c>
      <c r="C6" s="3" t="s">
        <v>21</v>
      </c>
      <c r="D6" s="4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2" t="s">
        <v>27</v>
      </c>
      <c r="J6" s="5">
        <v>46</v>
      </c>
      <c r="K6" s="5">
        <v>0</v>
      </c>
      <c r="L6" s="5">
        <v>46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</row>
    <row r="7" spans="1:17" ht="27.75" customHeight="1" x14ac:dyDescent="0.2">
      <c r="A7" s="2">
        <v>2</v>
      </c>
      <c r="B7" s="3" t="s">
        <v>20</v>
      </c>
      <c r="C7" s="3" t="s">
        <v>21</v>
      </c>
      <c r="D7" s="4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2" t="s">
        <v>38</v>
      </c>
      <c r="J7" s="5">
        <v>46</v>
      </c>
      <c r="K7" s="5">
        <v>0</v>
      </c>
      <c r="L7" s="5">
        <v>12</v>
      </c>
      <c r="M7" s="3" t="s">
        <v>39</v>
      </c>
      <c r="N7" s="3" t="s">
        <v>40</v>
      </c>
      <c r="O7" s="3" t="s">
        <v>41</v>
      </c>
      <c r="P7" s="3" t="s">
        <v>38</v>
      </c>
      <c r="Q7" s="3" t="s">
        <v>32</v>
      </c>
    </row>
    <row r="8" spans="1:17" ht="39.75" customHeight="1" x14ac:dyDescent="0.2">
      <c r="A8" s="2">
        <v>3</v>
      </c>
      <c r="B8" s="3" t="s">
        <v>20</v>
      </c>
      <c r="C8" s="3" t="s">
        <v>21</v>
      </c>
      <c r="D8" s="4" t="s">
        <v>42</v>
      </c>
      <c r="E8" s="3" t="s">
        <v>43</v>
      </c>
      <c r="F8" s="3" t="s">
        <v>44</v>
      </c>
      <c r="G8" s="3" t="s">
        <v>36</v>
      </c>
      <c r="H8" s="3" t="s">
        <v>37</v>
      </c>
      <c r="I8" s="2" t="s">
        <v>38</v>
      </c>
      <c r="J8" s="5">
        <v>46</v>
      </c>
      <c r="K8" s="5">
        <v>0</v>
      </c>
      <c r="L8" s="5">
        <v>18</v>
      </c>
      <c r="M8" s="3" t="s">
        <v>45</v>
      </c>
      <c r="N8" s="3" t="s">
        <v>46</v>
      </c>
      <c r="O8" s="3" t="s">
        <v>41</v>
      </c>
      <c r="P8" s="3" t="s">
        <v>38</v>
      </c>
      <c r="Q8" s="3" t="s">
        <v>32</v>
      </c>
    </row>
    <row r="9" spans="1:17" ht="27.75" customHeight="1" x14ac:dyDescent="0.2">
      <c r="A9" s="2">
        <v>4</v>
      </c>
      <c r="B9" s="3" t="s">
        <v>20</v>
      </c>
      <c r="C9" s="3" t="s">
        <v>21</v>
      </c>
      <c r="D9" s="4" t="s">
        <v>47</v>
      </c>
      <c r="E9" s="3" t="s">
        <v>48</v>
      </c>
      <c r="F9" s="3" t="s">
        <v>49</v>
      </c>
      <c r="G9" s="3" t="s">
        <v>36</v>
      </c>
      <c r="H9" s="3" t="s">
        <v>37</v>
      </c>
      <c r="I9" s="2" t="s">
        <v>38</v>
      </c>
      <c r="J9" s="5">
        <v>46</v>
      </c>
      <c r="K9" s="5">
        <v>0</v>
      </c>
      <c r="L9" s="5">
        <v>40</v>
      </c>
      <c r="M9" s="3" t="s">
        <v>50</v>
      </c>
      <c r="N9" s="3" t="s">
        <v>51</v>
      </c>
      <c r="O9" s="3" t="s">
        <v>41</v>
      </c>
      <c r="P9" s="3" t="s">
        <v>38</v>
      </c>
      <c r="Q9" s="3" t="s">
        <v>32</v>
      </c>
    </row>
    <row r="10" spans="1:17" ht="27.75" customHeight="1" x14ac:dyDescent="0.2">
      <c r="A10" s="2">
        <v>5</v>
      </c>
      <c r="B10" s="3" t="s">
        <v>20</v>
      </c>
      <c r="C10" s="3" t="s">
        <v>21</v>
      </c>
      <c r="D10" s="4" t="s">
        <v>52</v>
      </c>
      <c r="E10" s="3" t="s">
        <v>53</v>
      </c>
      <c r="F10" s="3" t="s">
        <v>53</v>
      </c>
      <c r="G10" s="3" t="s">
        <v>36</v>
      </c>
      <c r="H10" s="3" t="s">
        <v>37</v>
      </c>
      <c r="I10" s="2" t="s">
        <v>38</v>
      </c>
      <c r="J10" s="5">
        <v>46</v>
      </c>
      <c r="K10" s="5">
        <v>0</v>
      </c>
      <c r="L10" s="5">
        <v>40</v>
      </c>
      <c r="M10" s="3" t="s">
        <v>54</v>
      </c>
      <c r="N10" s="3" t="s">
        <v>55</v>
      </c>
      <c r="O10" s="3" t="s">
        <v>41</v>
      </c>
      <c r="P10" s="3" t="s">
        <v>38</v>
      </c>
      <c r="Q10" s="3" t="s">
        <v>32</v>
      </c>
    </row>
    <row r="11" spans="1:17" ht="39.75" customHeight="1" x14ac:dyDescent="0.2">
      <c r="A11" s="2">
        <v>6</v>
      </c>
      <c r="B11" s="3" t="s">
        <v>20</v>
      </c>
      <c r="C11" s="3" t="s">
        <v>21</v>
      </c>
      <c r="D11" s="4" t="s">
        <v>56</v>
      </c>
      <c r="E11" s="3" t="s">
        <v>57</v>
      </c>
      <c r="F11" s="3" t="s">
        <v>58</v>
      </c>
      <c r="G11" s="3" t="s">
        <v>59</v>
      </c>
      <c r="H11" s="3" t="s">
        <v>37</v>
      </c>
      <c r="I11" s="2" t="s">
        <v>38</v>
      </c>
      <c r="J11" s="5">
        <v>46</v>
      </c>
      <c r="K11" s="5">
        <v>0</v>
      </c>
      <c r="L11" s="5">
        <v>7</v>
      </c>
      <c r="M11" s="3" t="s">
        <v>60</v>
      </c>
      <c r="N11" s="3" t="s">
        <v>61</v>
      </c>
      <c r="O11" s="3" t="s">
        <v>62</v>
      </c>
      <c r="P11" s="3" t="s">
        <v>63</v>
      </c>
      <c r="Q11" s="3" t="s">
        <v>32</v>
      </c>
    </row>
    <row r="12" spans="1:17" ht="27.75" customHeight="1" x14ac:dyDescent="0.2">
      <c r="A12" s="2">
        <v>7</v>
      </c>
      <c r="B12" s="3" t="s">
        <v>20</v>
      </c>
      <c r="C12" s="3" t="s">
        <v>21</v>
      </c>
      <c r="D12" s="4" t="s">
        <v>64</v>
      </c>
      <c r="E12" s="3" t="s">
        <v>65</v>
      </c>
      <c r="F12" s="3" t="s">
        <v>65</v>
      </c>
      <c r="G12" s="3" t="s">
        <v>59</v>
      </c>
      <c r="H12" s="3" t="s">
        <v>37</v>
      </c>
      <c r="I12" s="2" t="s">
        <v>38</v>
      </c>
      <c r="J12" s="5">
        <v>46</v>
      </c>
      <c r="K12" s="5">
        <v>0</v>
      </c>
      <c r="L12" s="5">
        <v>1</v>
      </c>
      <c r="M12" s="3" t="s">
        <v>66</v>
      </c>
      <c r="N12" s="3" t="s">
        <v>67</v>
      </c>
      <c r="O12" s="3" t="s">
        <v>41</v>
      </c>
      <c r="P12" s="3" t="s">
        <v>38</v>
      </c>
      <c r="Q12" s="3" t="s">
        <v>32</v>
      </c>
    </row>
    <row r="13" spans="1:17" ht="39.75" customHeight="1" x14ac:dyDescent="0.2">
      <c r="A13" s="2">
        <v>8</v>
      </c>
      <c r="B13" s="3" t="s">
        <v>20</v>
      </c>
      <c r="C13" s="3" t="s">
        <v>21</v>
      </c>
      <c r="D13" s="4" t="s">
        <v>68</v>
      </c>
      <c r="E13" s="3" t="s">
        <v>69</v>
      </c>
      <c r="F13" s="3" t="s">
        <v>70</v>
      </c>
      <c r="G13" s="3" t="s">
        <v>59</v>
      </c>
      <c r="H13" s="3" t="s">
        <v>37</v>
      </c>
      <c r="I13" s="2" t="s">
        <v>38</v>
      </c>
      <c r="J13" s="5">
        <v>46</v>
      </c>
      <c r="K13" s="5">
        <v>0</v>
      </c>
      <c r="L13" s="5">
        <v>1</v>
      </c>
      <c r="M13" s="3" t="s">
        <v>71</v>
      </c>
      <c r="N13" s="3" t="s">
        <v>72</v>
      </c>
      <c r="O13" s="3" t="s">
        <v>41</v>
      </c>
      <c r="P13" s="3" t="s">
        <v>38</v>
      </c>
      <c r="Q13" s="3" t="s">
        <v>32</v>
      </c>
    </row>
    <row r="14" spans="1:17" ht="27.75" customHeight="1" x14ac:dyDescent="0.2">
      <c r="A14" s="2">
        <v>9</v>
      </c>
      <c r="B14" s="3" t="s">
        <v>20</v>
      </c>
      <c r="C14" s="3" t="s">
        <v>21</v>
      </c>
      <c r="D14" s="4" t="s">
        <v>73</v>
      </c>
      <c r="E14" s="3" t="s">
        <v>74</v>
      </c>
      <c r="F14" s="3" t="s">
        <v>75</v>
      </c>
      <c r="G14" s="3" t="s">
        <v>59</v>
      </c>
      <c r="H14" s="3" t="s">
        <v>37</v>
      </c>
      <c r="I14" s="2" t="s">
        <v>38</v>
      </c>
      <c r="J14" s="5">
        <v>46</v>
      </c>
      <c r="K14" s="5">
        <v>0</v>
      </c>
      <c r="L14" s="5">
        <v>3</v>
      </c>
      <c r="M14" s="3" t="s">
        <v>76</v>
      </c>
      <c r="N14" s="3" t="s">
        <v>77</v>
      </c>
      <c r="O14" s="3" t="s">
        <v>41</v>
      </c>
      <c r="P14" s="3" t="s">
        <v>38</v>
      </c>
      <c r="Q14" s="3" t="s">
        <v>32</v>
      </c>
    </row>
    <row r="15" spans="1:17" ht="27.75" customHeight="1" x14ac:dyDescent="0.2">
      <c r="A15" s="2">
        <v>10</v>
      </c>
      <c r="B15" s="3" t="s">
        <v>20</v>
      </c>
      <c r="C15" s="3" t="s">
        <v>21</v>
      </c>
      <c r="D15" s="4" t="s">
        <v>78</v>
      </c>
      <c r="E15" s="3" t="s">
        <v>79</v>
      </c>
      <c r="F15" s="3" t="s">
        <v>80</v>
      </c>
      <c r="G15" s="3" t="s">
        <v>59</v>
      </c>
      <c r="H15" s="3" t="s">
        <v>81</v>
      </c>
      <c r="I15" s="2" t="s">
        <v>38</v>
      </c>
      <c r="J15" s="5">
        <v>45</v>
      </c>
      <c r="K15" s="5">
        <v>1</v>
      </c>
      <c r="L15" s="5">
        <v>1</v>
      </c>
      <c r="M15" s="3" t="s">
        <v>82</v>
      </c>
      <c r="N15" s="3" t="s">
        <v>83</v>
      </c>
      <c r="O15" s="3" t="s">
        <v>41</v>
      </c>
      <c r="P15" s="3" t="s">
        <v>38</v>
      </c>
      <c r="Q15" s="3" t="s">
        <v>32</v>
      </c>
    </row>
    <row r="16" spans="1:17" ht="27.75" customHeight="1" x14ac:dyDescent="0.2">
      <c r="A16" s="2">
        <v>11</v>
      </c>
      <c r="B16" s="3" t="s">
        <v>20</v>
      </c>
      <c r="C16" s="3" t="s">
        <v>21</v>
      </c>
      <c r="D16" s="4" t="s">
        <v>84</v>
      </c>
      <c r="E16" s="3" t="s">
        <v>85</v>
      </c>
      <c r="F16" s="3" t="s">
        <v>86</v>
      </c>
      <c r="G16" s="3" t="s">
        <v>87</v>
      </c>
      <c r="H16" s="3" t="s">
        <v>88</v>
      </c>
      <c r="I16" s="2" t="s">
        <v>38</v>
      </c>
      <c r="J16" s="5">
        <v>46</v>
      </c>
      <c r="K16" s="5">
        <v>0</v>
      </c>
      <c r="L16" s="5">
        <v>18</v>
      </c>
      <c r="M16" s="3" t="s">
        <v>89</v>
      </c>
      <c r="N16" s="3" t="s">
        <v>90</v>
      </c>
      <c r="O16" s="3" t="s">
        <v>91</v>
      </c>
      <c r="P16" s="3" t="s">
        <v>38</v>
      </c>
      <c r="Q16" s="3" t="s">
        <v>32</v>
      </c>
    </row>
    <row r="17" spans="1:17" ht="27.75" customHeight="1" x14ac:dyDescent="0.2">
      <c r="A17" s="2">
        <v>12</v>
      </c>
      <c r="B17" s="3" t="s">
        <v>20</v>
      </c>
      <c r="C17" s="3" t="s">
        <v>21</v>
      </c>
      <c r="D17" s="4" t="s">
        <v>92</v>
      </c>
      <c r="E17" s="3" t="s">
        <v>93</v>
      </c>
      <c r="F17" s="3" t="s">
        <v>94</v>
      </c>
      <c r="G17" s="3" t="s">
        <v>87</v>
      </c>
      <c r="H17" s="3" t="s">
        <v>95</v>
      </c>
      <c r="I17" s="2" t="s">
        <v>38</v>
      </c>
      <c r="J17" s="5">
        <v>46</v>
      </c>
      <c r="K17" s="5">
        <v>0</v>
      </c>
      <c r="L17" s="5">
        <v>31</v>
      </c>
      <c r="M17" s="3" t="s">
        <v>96</v>
      </c>
      <c r="N17" s="3" t="s">
        <v>97</v>
      </c>
      <c r="O17" s="3" t="s">
        <v>62</v>
      </c>
      <c r="P17" s="3" t="s">
        <v>98</v>
      </c>
      <c r="Q17" s="3" t="s">
        <v>32</v>
      </c>
    </row>
    <row r="18" spans="1:17" ht="27.75" customHeight="1" x14ac:dyDescent="0.2">
      <c r="A18" s="2">
        <v>13</v>
      </c>
      <c r="B18" s="3" t="s">
        <v>20</v>
      </c>
      <c r="C18" s="3" t="s">
        <v>21</v>
      </c>
      <c r="D18" s="4" t="s">
        <v>99</v>
      </c>
      <c r="E18" s="3" t="s">
        <v>100</v>
      </c>
      <c r="F18" s="3" t="s">
        <v>100</v>
      </c>
      <c r="G18" s="3" t="s">
        <v>87</v>
      </c>
      <c r="H18" s="3" t="s">
        <v>101</v>
      </c>
      <c r="I18" s="2" t="s">
        <v>38</v>
      </c>
      <c r="J18" s="5">
        <v>46</v>
      </c>
      <c r="K18" s="5">
        <v>0</v>
      </c>
      <c r="L18" s="5">
        <v>39</v>
      </c>
      <c r="M18" s="3" t="s">
        <v>102</v>
      </c>
      <c r="N18" s="3" t="s">
        <v>103</v>
      </c>
      <c r="O18" s="3" t="s">
        <v>104</v>
      </c>
      <c r="P18" s="3" t="s">
        <v>105</v>
      </c>
      <c r="Q18" s="3" t="s">
        <v>32</v>
      </c>
    </row>
    <row r="19" spans="1:17" ht="27.75" customHeight="1" x14ac:dyDescent="0.2">
      <c r="A19" s="2">
        <v>14</v>
      </c>
      <c r="B19" s="3" t="s">
        <v>20</v>
      </c>
      <c r="C19" s="3" t="s">
        <v>21</v>
      </c>
      <c r="D19" s="4" t="s">
        <v>106</v>
      </c>
      <c r="E19" s="3" t="s">
        <v>107</v>
      </c>
      <c r="F19" s="3" t="s">
        <v>108</v>
      </c>
      <c r="G19" s="3" t="s">
        <v>87</v>
      </c>
      <c r="H19" s="3" t="s">
        <v>101</v>
      </c>
      <c r="I19" s="2" t="s">
        <v>38</v>
      </c>
      <c r="J19" s="5">
        <v>46</v>
      </c>
      <c r="K19" s="5">
        <v>0</v>
      </c>
      <c r="L19" s="5">
        <v>39</v>
      </c>
      <c r="M19" s="3" t="s">
        <v>109</v>
      </c>
      <c r="N19" s="3" t="s">
        <v>110</v>
      </c>
      <c r="O19" s="3" t="s">
        <v>104</v>
      </c>
      <c r="P19" s="3" t="s">
        <v>111</v>
      </c>
      <c r="Q19" s="3" t="s">
        <v>32</v>
      </c>
    </row>
    <row r="20" spans="1:17" ht="27.75" customHeight="1" x14ac:dyDescent="0.2">
      <c r="A20" s="2">
        <v>15</v>
      </c>
      <c r="B20" s="3" t="s">
        <v>20</v>
      </c>
      <c r="C20" s="3" t="s">
        <v>21</v>
      </c>
      <c r="D20" s="4" t="s">
        <v>112</v>
      </c>
      <c r="E20" s="3" t="s">
        <v>113</v>
      </c>
      <c r="F20" s="3" t="s">
        <v>114</v>
      </c>
      <c r="G20" s="3" t="s">
        <v>87</v>
      </c>
      <c r="H20" s="3" t="s">
        <v>101</v>
      </c>
      <c r="I20" s="2" t="s">
        <v>38</v>
      </c>
      <c r="J20" s="5">
        <v>46</v>
      </c>
      <c r="K20" s="5">
        <v>0</v>
      </c>
      <c r="L20" s="5">
        <v>39</v>
      </c>
      <c r="M20" s="3" t="s">
        <v>109</v>
      </c>
      <c r="N20" s="3" t="s">
        <v>115</v>
      </c>
      <c r="O20" s="3" t="s">
        <v>104</v>
      </c>
      <c r="P20" s="3" t="s">
        <v>98</v>
      </c>
      <c r="Q20" s="3" t="s">
        <v>32</v>
      </c>
    </row>
    <row r="21" spans="1:17" ht="27.75" customHeight="1" x14ac:dyDescent="0.2">
      <c r="A21" s="2">
        <v>16</v>
      </c>
      <c r="B21" s="3" t="s">
        <v>20</v>
      </c>
      <c r="C21" s="3" t="s">
        <v>21</v>
      </c>
      <c r="D21" s="4" t="s">
        <v>116</v>
      </c>
      <c r="E21" s="3" t="s">
        <v>117</v>
      </c>
      <c r="F21" s="3" t="s">
        <v>118</v>
      </c>
      <c r="G21" s="3" t="s">
        <v>59</v>
      </c>
      <c r="H21" s="3" t="s">
        <v>37</v>
      </c>
      <c r="I21" s="2" t="s">
        <v>38</v>
      </c>
      <c r="J21" s="5">
        <v>46</v>
      </c>
      <c r="K21" s="5">
        <v>0</v>
      </c>
      <c r="L21" s="5">
        <v>3</v>
      </c>
      <c r="M21" s="3" t="s">
        <v>119</v>
      </c>
      <c r="N21" s="3" t="s">
        <v>120</v>
      </c>
      <c r="O21" s="3" t="s">
        <v>121</v>
      </c>
      <c r="P21" s="3" t="s">
        <v>122</v>
      </c>
      <c r="Q21" s="3" t="s">
        <v>32</v>
      </c>
    </row>
    <row r="22" spans="1:17" ht="27.75" customHeight="1" x14ac:dyDescent="0.2">
      <c r="A22" s="2">
        <v>17</v>
      </c>
      <c r="B22" s="3" t="s">
        <v>20</v>
      </c>
      <c r="C22" s="3" t="s">
        <v>21</v>
      </c>
      <c r="D22" s="4" t="s">
        <v>123</v>
      </c>
      <c r="E22" s="3" t="s">
        <v>124</v>
      </c>
      <c r="F22" s="3" t="s">
        <v>125</v>
      </c>
      <c r="G22" s="3" t="s">
        <v>59</v>
      </c>
      <c r="H22" s="3" t="s">
        <v>37</v>
      </c>
      <c r="I22" s="2" t="s">
        <v>38</v>
      </c>
      <c r="J22" s="5">
        <v>46</v>
      </c>
      <c r="K22" s="5">
        <v>0</v>
      </c>
      <c r="L22" s="5">
        <v>2</v>
      </c>
      <c r="M22" s="3" t="s">
        <v>126</v>
      </c>
      <c r="N22" s="3" t="s">
        <v>127</v>
      </c>
      <c r="O22" s="3" t="s">
        <v>41</v>
      </c>
      <c r="P22" s="3" t="s">
        <v>38</v>
      </c>
      <c r="Q22" s="3" t="s">
        <v>32</v>
      </c>
    </row>
    <row r="23" spans="1:17" ht="27.75" customHeight="1" x14ac:dyDescent="0.2">
      <c r="A23" s="2">
        <v>18</v>
      </c>
      <c r="B23" s="3" t="s">
        <v>20</v>
      </c>
      <c r="C23" s="3" t="s">
        <v>21</v>
      </c>
      <c r="D23" s="4" t="s">
        <v>128</v>
      </c>
      <c r="E23" s="3" t="s">
        <v>129</v>
      </c>
      <c r="F23" s="3" t="s">
        <v>130</v>
      </c>
      <c r="G23" s="3" t="s">
        <v>59</v>
      </c>
      <c r="H23" s="3" t="s">
        <v>37</v>
      </c>
      <c r="I23" s="2" t="s">
        <v>38</v>
      </c>
      <c r="J23" s="5">
        <v>46</v>
      </c>
      <c r="K23" s="5">
        <v>0</v>
      </c>
      <c r="L23" s="5">
        <v>11</v>
      </c>
      <c r="M23" s="3" t="s">
        <v>131</v>
      </c>
      <c r="N23" s="3" t="s">
        <v>132</v>
      </c>
      <c r="O23" s="3" t="s">
        <v>121</v>
      </c>
      <c r="P23" s="3" t="s">
        <v>133</v>
      </c>
      <c r="Q23" s="3" t="s">
        <v>32</v>
      </c>
    </row>
    <row r="24" spans="1:17" ht="39.75" customHeight="1" x14ac:dyDescent="0.2">
      <c r="A24" s="2">
        <v>19</v>
      </c>
      <c r="B24" s="3" t="s">
        <v>20</v>
      </c>
      <c r="C24" s="3" t="s">
        <v>21</v>
      </c>
      <c r="D24" s="4" t="s">
        <v>134</v>
      </c>
      <c r="E24" s="3" t="s">
        <v>135</v>
      </c>
      <c r="F24" s="3" t="s">
        <v>135</v>
      </c>
      <c r="G24" s="3" t="s">
        <v>36</v>
      </c>
      <c r="H24" s="3" t="s">
        <v>37</v>
      </c>
      <c r="I24" s="2" t="s">
        <v>38</v>
      </c>
      <c r="J24" s="5">
        <v>46</v>
      </c>
      <c r="K24" s="5">
        <v>0</v>
      </c>
      <c r="L24" s="5">
        <v>17</v>
      </c>
      <c r="M24" s="3" t="s">
        <v>136</v>
      </c>
      <c r="N24" s="3" t="s">
        <v>137</v>
      </c>
      <c r="O24" s="3" t="s">
        <v>41</v>
      </c>
      <c r="P24" s="3" t="s">
        <v>38</v>
      </c>
      <c r="Q24" s="3" t="s">
        <v>32</v>
      </c>
    </row>
    <row r="25" spans="1:17" ht="39.75" customHeight="1" x14ac:dyDescent="0.2">
      <c r="A25" s="2">
        <v>20</v>
      </c>
      <c r="B25" s="3" t="s">
        <v>20</v>
      </c>
      <c r="C25" s="3" t="s">
        <v>21</v>
      </c>
      <c r="D25" s="4" t="s">
        <v>138</v>
      </c>
      <c r="E25" s="3" t="s">
        <v>139</v>
      </c>
      <c r="F25" s="3" t="s">
        <v>139</v>
      </c>
      <c r="G25" s="3" t="s">
        <v>36</v>
      </c>
      <c r="H25" s="3" t="s">
        <v>37</v>
      </c>
      <c r="I25" s="2" t="s">
        <v>38</v>
      </c>
      <c r="J25" s="5">
        <v>46</v>
      </c>
      <c r="K25" s="5">
        <v>0</v>
      </c>
      <c r="L25" s="5">
        <v>13</v>
      </c>
      <c r="M25" s="3" t="s">
        <v>140</v>
      </c>
      <c r="N25" s="3" t="s">
        <v>141</v>
      </c>
      <c r="O25" s="3" t="s">
        <v>121</v>
      </c>
      <c r="P25" s="3" t="s">
        <v>142</v>
      </c>
      <c r="Q25" s="3" t="s">
        <v>32</v>
      </c>
    </row>
    <row r="26" spans="1:17" ht="27.75" customHeight="1" x14ac:dyDescent="0.2">
      <c r="A26" s="2">
        <v>21</v>
      </c>
      <c r="B26" s="3" t="s">
        <v>20</v>
      </c>
      <c r="C26" s="3" t="s">
        <v>21</v>
      </c>
      <c r="D26" s="4" t="s">
        <v>143</v>
      </c>
      <c r="E26" s="3" t="s">
        <v>144</v>
      </c>
      <c r="F26" s="3" t="s">
        <v>145</v>
      </c>
      <c r="G26" s="3" t="s">
        <v>36</v>
      </c>
      <c r="H26" s="3" t="s">
        <v>37</v>
      </c>
      <c r="I26" s="2" t="s">
        <v>38</v>
      </c>
      <c r="J26" s="5">
        <v>46</v>
      </c>
      <c r="K26" s="5">
        <v>0</v>
      </c>
      <c r="L26" s="5">
        <v>4</v>
      </c>
      <c r="M26" s="3" t="s">
        <v>146</v>
      </c>
      <c r="N26" s="3" t="s">
        <v>147</v>
      </c>
      <c r="O26" s="3" t="s">
        <v>41</v>
      </c>
      <c r="P26" s="3" t="s">
        <v>38</v>
      </c>
      <c r="Q26" s="3" t="s">
        <v>32</v>
      </c>
    </row>
    <row r="27" spans="1:17" ht="27.75" customHeight="1" x14ac:dyDescent="0.2">
      <c r="A27" s="2">
        <v>22</v>
      </c>
      <c r="B27" s="3" t="s">
        <v>20</v>
      </c>
      <c r="C27" s="3" t="s">
        <v>21</v>
      </c>
      <c r="D27" s="4" t="s">
        <v>148</v>
      </c>
      <c r="E27" s="3" t="s">
        <v>149</v>
      </c>
      <c r="F27" s="3" t="s">
        <v>150</v>
      </c>
      <c r="G27" s="3" t="s">
        <v>36</v>
      </c>
      <c r="H27" s="3" t="s">
        <v>151</v>
      </c>
      <c r="I27" s="2" t="s">
        <v>38</v>
      </c>
      <c r="J27" s="5">
        <v>38</v>
      </c>
      <c r="K27" s="5">
        <v>8</v>
      </c>
      <c r="L27" s="5">
        <v>8</v>
      </c>
      <c r="M27" s="3" t="s">
        <v>152</v>
      </c>
      <c r="N27" s="3" t="s">
        <v>153</v>
      </c>
      <c r="O27" s="3" t="s">
        <v>41</v>
      </c>
      <c r="P27" s="3" t="s">
        <v>38</v>
      </c>
      <c r="Q27" s="3" t="s">
        <v>32</v>
      </c>
    </row>
    <row r="28" spans="1:17" ht="27.75" customHeight="1" x14ac:dyDescent="0.2">
      <c r="A28" s="2">
        <v>23</v>
      </c>
      <c r="B28" s="3" t="s">
        <v>20</v>
      </c>
      <c r="C28" s="3" t="s">
        <v>21</v>
      </c>
      <c r="D28" s="4" t="s">
        <v>154</v>
      </c>
      <c r="E28" s="3" t="s">
        <v>155</v>
      </c>
      <c r="F28" s="3" t="s">
        <v>156</v>
      </c>
      <c r="G28" s="3" t="s">
        <v>59</v>
      </c>
      <c r="H28" s="3" t="s">
        <v>37</v>
      </c>
      <c r="I28" s="2" t="s">
        <v>38</v>
      </c>
      <c r="J28" s="5">
        <v>46</v>
      </c>
      <c r="K28" s="5">
        <v>0</v>
      </c>
      <c r="L28" s="5">
        <v>7</v>
      </c>
      <c r="M28" s="3" t="s">
        <v>157</v>
      </c>
      <c r="N28" s="3" t="s">
        <v>158</v>
      </c>
      <c r="O28" s="3" t="s">
        <v>41</v>
      </c>
      <c r="P28" s="3" t="s">
        <v>38</v>
      </c>
      <c r="Q28" s="3" t="s">
        <v>32</v>
      </c>
    </row>
    <row r="29" spans="1:17" ht="27.75" customHeight="1" x14ac:dyDescent="0.2">
      <c r="A29" s="2">
        <v>24</v>
      </c>
      <c r="B29" s="3" t="s">
        <v>20</v>
      </c>
      <c r="C29" s="3" t="s">
        <v>21</v>
      </c>
      <c r="D29" s="4" t="s">
        <v>159</v>
      </c>
      <c r="E29" s="3" t="s">
        <v>160</v>
      </c>
      <c r="F29" s="3" t="s">
        <v>161</v>
      </c>
      <c r="G29" s="3" t="s">
        <v>25</v>
      </c>
      <c r="H29" s="3" t="s">
        <v>26</v>
      </c>
      <c r="I29" s="2" t="s">
        <v>38</v>
      </c>
      <c r="J29" s="5">
        <v>46</v>
      </c>
      <c r="K29" s="5">
        <v>0</v>
      </c>
      <c r="L29" s="5">
        <v>9</v>
      </c>
      <c r="M29" s="3" t="s">
        <v>162</v>
      </c>
      <c r="N29" s="3" t="s">
        <v>163</v>
      </c>
      <c r="O29" s="3" t="s">
        <v>41</v>
      </c>
      <c r="P29" s="3" t="s">
        <v>38</v>
      </c>
      <c r="Q29" s="3" t="s">
        <v>32</v>
      </c>
    </row>
    <row r="30" spans="1:17" ht="27.75" customHeight="1" x14ac:dyDescent="0.2">
      <c r="A30" s="2">
        <v>25</v>
      </c>
      <c r="B30" s="3" t="s">
        <v>20</v>
      </c>
      <c r="C30" s="3" t="s">
        <v>21</v>
      </c>
      <c r="D30" s="4" t="s">
        <v>164</v>
      </c>
      <c r="E30" s="3" t="s">
        <v>165</v>
      </c>
      <c r="F30" s="3" t="s">
        <v>165</v>
      </c>
      <c r="G30" s="3" t="s">
        <v>25</v>
      </c>
      <c r="H30" s="3" t="s">
        <v>26</v>
      </c>
      <c r="I30" s="2" t="s">
        <v>38</v>
      </c>
      <c r="J30" s="5">
        <v>46</v>
      </c>
      <c r="K30" s="5">
        <v>0</v>
      </c>
      <c r="L30" s="5">
        <v>36</v>
      </c>
      <c r="M30" s="3" t="s">
        <v>166</v>
      </c>
      <c r="N30" s="3" t="s">
        <v>167</v>
      </c>
      <c r="O30" s="3" t="s">
        <v>41</v>
      </c>
      <c r="P30" s="3" t="s">
        <v>38</v>
      </c>
      <c r="Q30" s="3" t="s">
        <v>32</v>
      </c>
    </row>
    <row r="31" spans="1:17" ht="39.75" customHeight="1" x14ac:dyDescent="0.2">
      <c r="A31" s="2">
        <v>26</v>
      </c>
      <c r="B31" s="3" t="s">
        <v>20</v>
      </c>
      <c r="C31" s="3" t="s">
        <v>21</v>
      </c>
      <c r="D31" s="4" t="s">
        <v>168</v>
      </c>
      <c r="E31" s="3" t="s">
        <v>169</v>
      </c>
      <c r="F31" s="3" t="s">
        <v>170</v>
      </c>
      <c r="G31" s="3" t="s">
        <v>171</v>
      </c>
      <c r="H31" s="3" t="s">
        <v>26</v>
      </c>
      <c r="I31" s="2" t="s">
        <v>38</v>
      </c>
      <c r="J31" s="5">
        <v>46</v>
      </c>
      <c r="K31" s="5">
        <v>0</v>
      </c>
      <c r="L31" s="5">
        <v>41</v>
      </c>
      <c r="M31" s="3" t="s">
        <v>172</v>
      </c>
      <c r="N31" s="3" t="s">
        <v>173</v>
      </c>
      <c r="O31" s="3" t="s">
        <v>104</v>
      </c>
      <c r="P31" s="3" t="s">
        <v>174</v>
      </c>
      <c r="Q31" s="3" t="s">
        <v>32</v>
      </c>
    </row>
    <row r="32" spans="1:17" ht="27.75" customHeight="1" x14ac:dyDescent="0.2">
      <c r="A32" s="2">
        <v>27</v>
      </c>
      <c r="B32" s="3" t="s">
        <v>20</v>
      </c>
      <c r="C32" s="3" t="s">
        <v>21</v>
      </c>
      <c r="D32" s="4" t="s">
        <v>175</v>
      </c>
      <c r="E32" s="3" t="s">
        <v>176</v>
      </c>
      <c r="F32" s="3" t="s">
        <v>177</v>
      </c>
      <c r="G32" s="3" t="s">
        <v>171</v>
      </c>
      <c r="H32" s="3" t="s">
        <v>26</v>
      </c>
      <c r="I32" s="2" t="s">
        <v>38</v>
      </c>
      <c r="J32" s="5">
        <v>46</v>
      </c>
      <c r="K32" s="5">
        <v>0</v>
      </c>
      <c r="L32" s="5">
        <v>35</v>
      </c>
      <c r="M32" s="3" t="s">
        <v>178</v>
      </c>
      <c r="N32" s="3" t="s">
        <v>179</v>
      </c>
      <c r="O32" s="3" t="s">
        <v>41</v>
      </c>
      <c r="P32" s="3" t="s">
        <v>38</v>
      </c>
      <c r="Q32" s="3" t="s">
        <v>32</v>
      </c>
    </row>
    <row r="33" spans="1:17" ht="27.75" customHeight="1" x14ac:dyDescent="0.2">
      <c r="A33" s="2">
        <v>28</v>
      </c>
      <c r="B33" s="3" t="s">
        <v>20</v>
      </c>
      <c r="C33" s="3" t="s">
        <v>21</v>
      </c>
      <c r="D33" s="4" t="s">
        <v>180</v>
      </c>
      <c r="E33" s="3" t="s">
        <v>181</v>
      </c>
      <c r="F33" s="3" t="s">
        <v>182</v>
      </c>
      <c r="G33" s="3" t="s">
        <v>171</v>
      </c>
      <c r="H33" s="3" t="s">
        <v>26</v>
      </c>
      <c r="I33" s="2" t="s">
        <v>38</v>
      </c>
      <c r="J33" s="5">
        <v>46</v>
      </c>
      <c r="K33" s="5">
        <v>0</v>
      </c>
      <c r="L33" s="5">
        <v>15</v>
      </c>
      <c r="M33" s="3" t="s">
        <v>183</v>
      </c>
      <c r="N33" s="3" t="s">
        <v>184</v>
      </c>
      <c r="O33" s="3" t="s">
        <v>104</v>
      </c>
      <c r="P33" s="3" t="s">
        <v>185</v>
      </c>
      <c r="Q33" s="3" t="s">
        <v>32</v>
      </c>
    </row>
    <row r="34" spans="1:17" ht="39.75" customHeight="1" x14ac:dyDescent="0.2">
      <c r="A34" s="2">
        <v>29</v>
      </c>
      <c r="B34" s="3" t="s">
        <v>20</v>
      </c>
      <c r="C34" s="3" t="s">
        <v>21</v>
      </c>
      <c r="D34" s="4" t="s">
        <v>186</v>
      </c>
      <c r="E34" s="3" t="s">
        <v>187</v>
      </c>
      <c r="F34" s="3" t="s">
        <v>188</v>
      </c>
      <c r="G34" s="3" t="s">
        <v>36</v>
      </c>
      <c r="H34" s="3" t="s">
        <v>37</v>
      </c>
      <c r="I34" s="2" t="s">
        <v>38</v>
      </c>
      <c r="J34" s="5">
        <v>46</v>
      </c>
      <c r="K34" s="5">
        <v>0</v>
      </c>
      <c r="L34" s="5">
        <v>18</v>
      </c>
      <c r="M34" s="3" t="s">
        <v>189</v>
      </c>
      <c r="N34" s="3" t="s">
        <v>190</v>
      </c>
      <c r="O34" s="3" t="s">
        <v>41</v>
      </c>
      <c r="P34" s="3" t="s">
        <v>38</v>
      </c>
      <c r="Q34" s="3" t="s">
        <v>32</v>
      </c>
    </row>
    <row r="35" spans="1:17" ht="27.75" customHeight="1" x14ac:dyDescent="0.2">
      <c r="A35" s="2">
        <v>30</v>
      </c>
      <c r="B35" s="3" t="s">
        <v>20</v>
      </c>
      <c r="C35" s="3" t="s">
        <v>21</v>
      </c>
      <c r="D35" s="4" t="s">
        <v>191</v>
      </c>
      <c r="E35" s="3" t="s">
        <v>192</v>
      </c>
      <c r="F35" s="3" t="s">
        <v>193</v>
      </c>
      <c r="G35" s="3" t="s">
        <v>194</v>
      </c>
      <c r="H35" s="3" t="s">
        <v>195</v>
      </c>
      <c r="I35" s="2" t="s">
        <v>38</v>
      </c>
      <c r="J35" s="5">
        <v>46</v>
      </c>
      <c r="K35" s="5">
        <v>0</v>
      </c>
      <c r="L35" s="5">
        <v>2</v>
      </c>
      <c r="M35" s="3" t="s">
        <v>196</v>
      </c>
      <c r="N35" s="3" t="s">
        <v>197</v>
      </c>
      <c r="O35" s="3" t="s">
        <v>41</v>
      </c>
      <c r="P35" s="3" t="s">
        <v>38</v>
      </c>
      <c r="Q35" s="3" t="s">
        <v>32</v>
      </c>
    </row>
    <row r="36" spans="1:17" ht="39.75" customHeight="1" x14ac:dyDescent="0.2">
      <c r="A36" s="2">
        <v>31</v>
      </c>
      <c r="B36" s="3" t="s">
        <v>20</v>
      </c>
      <c r="C36" s="3" t="s">
        <v>21</v>
      </c>
      <c r="D36" s="4" t="s">
        <v>198</v>
      </c>
      <c r="E36" s="3" t="s">
        <v>199</v>
      </c>
      <c r="F36" s="3" t="s">
        <v>200</v>
      </c>
      <c r="G36" s="3" t="s">
        <v>201</v>
      </c>
      <c r="H36" s="3" t="s">
        <v>202</v>
      </c>
      <c r="I36" s="2" t="s">
        <v>38</v>
      </c>
      <c r="J36" s="5">
        <v>46</v>
      </c>
      <c r="K36" s="5">
        <v>0</v>
      </c>
      <c r="L36" s="5">
        <v>41</v>
      </c>
      <c r="M36" s="3" t="s">
        <v>203</v>
      </c>
      <c r="N36" s="3" t="s">
        <v>204</v>
      </c>
      <c r="O36" s="3" t="s">
        <v>62</v>
      </c>
      <c r="P36" s="3" t="s">
        <v>205</v>
      </c>
      <c r="Q36" s="3" t="s">
        <v>32</v>
      </c>
    </row>
    <row r="37" spans="1:17" ht="39.75" customHeight="1" x14ac:dyDescent="0.2">
      <c r="A37" s="2">
        <v>32</v>
      </c>
      <c r="B37" s="3" t="s">
        <v>20</v>
      </c>
      <c r="C37" s="3" t="s">
        <v>21</v>
      </c>
      <c r="D37" s="4" t="s">
        <v>206</v>
      </c>
      <c r="E37" s="3" t="s">
        <v>207</v>
      </c>
      <c r="F37" s="3" t="s">
        <v>208</v>
      </c>
      <c r="G37" s="3" t="s">
        <v>171</v>
      </c>
      <c r="H37" s="3" t="s">
        <v>202</v>
      </c>
      <c r="I37" s="2" t="s">
        <v>38</v>
      </c>
      <c r="J37" s="5">
        <v>46</v>
      </c>
      <c r="K37" s="5">
        <v>0</v>
      </c>
      <c r="L37" s="5">
        <v>43</v>
      </c>
      <c r="M37" s="3" t="s">
        <v>209</v>
      </c>
      <c r="N37" s="3" t="s">
        <v>210</v>
      </c>
      <c r="O37" s="3" t="s">
        <v>62</v>
      </c>
      <c r="P37" s="3" t="s">
        <v>211</v>
      </c>
      <c r="Q37" s="3" t="s">
        <v>32</v>
      </c>
    </row>
    <row r="38" spans="1:17" ht="27.75" customHeight="1" x14ac:dyDescent="0.2">
      <c r="A38" s="2">
        <v>33</v>
      </c>
      <c r="B38" s="3" t="s">
        <v>20</v>
      </c>
      <c r="C38" s="3" t="s">
        <v>21</v>
      </c>
      <c r="D38" s="4" t="s">
        <v>212</v>
      </c>
      <c r="E38" s="3" t="s">
        <v>213</v>
      </c>
      <c r="F38" s="3" t="s">
        <v>214</v>
      </c>
      <c r="G38" s="3" t="s">
        <v>171</v>
      </c>
      <c r="H38" s="3" t="s">
        <v>26</v>
      </c>
      <c r="I38" s="2" t="s">
        <v>38</v>
      </c>
      <c r="J38" s="5">
        <v>46</v>
      </c>
      <c r="K38" s="5">
        <v>0</v>
      </c>
      <c r="L38" s="5">
        <v>41</v>
      </c>
      <c r="M38" s="3" t="s">
        <v>215</v>
      </c>
      <c r="N38" s="3" t="s">
        <v>216</v>
      </c>
      <c r="O38" s="3" t="s">
        <v>104</v>
      </c>
      <c r="P38" s="3" t="s">
        <v>217</v>
      </c>
      <c r="Q38" s="3" t="s">
        <v>32</v>
      </c>
    </row>
    <row r="39" spans="1:17" ht="27.75" customHeight="1" x14ac:dyDescent="0.2">
      <c r="A39" s="2">
        <v>34</v>
      </c>
      <c r="B39" s="3" t="s">
        <v>20</v>
      </c>
      <c r="C39" s="3" t="s">
        <v>21</v>
      </c>
      <c r="D39" s="4" t="s">
        <v>218</v>
      </c>
      <c r="E39" s="3" t="s">
        <v>219</v>
      </c>
      <c r="F39" s="3" t="s">
        <v>219</v>
      </c>
      <c r="G39" s="3" t="s">
        <v>36</v>
      </c>
      <c r="H39" s="3" t="s">
        <v>220</v>
      </c>
      <c r="I39" s="2" t="s">
        <v>38</v>
      </c>
      <c r="J39" s="5">
        <v>43</v>
      </c>
      <c r="K39" s="5">
        <v>3</v>
      </c>
      <c r="L39" s="5">
        <v>42</v>
      </c>
      <c r="M39" s="3" t="s">
        <v>221</v>
      </c>
      <c r="N39" s="3" t="s">
        <v>222</v>
      </c>
      <c r="O39" s="3" t="s">
        <v>41</v>
      </c>
      <c r="P39" s="3" t="s">
        <v>38</v>
      </c>
      <c r="Q39" s="3" t="s">
        <v>32</v>
      </c>
    </row>
    <row r="40" spans="1:17" ht="39.75" customHeight="1" x14ac:dyDescent="0.2">
      <c r="A40" s="2">
        <v>35</v>
      </c>
      <c r="B40" s="3" t="s">
        <v>20</v>
      </c>
      <c r="C40" s="3" t="s">
        <v>21</v>
      </c>
      <c r="D40" s="4" t="s">
        <v>223</v>
      </c>
      <c r="E40" s="3" t="s">
        <v>224</v>
      </c>
      <c r="F40" s="3" t="s">
        <v>225</v>
      </c>
      <c r="G40" s="3" t="s">
        <v>87</v>
      </c>
      <c r="H40" s="3" t="s">
        <v>226</v>
      </c>
      <c r="I40" s="2" t="s">
        <v>38</v>
      </c>
      <c r="J40" s="5">
        <v>44</v>
      </c>
      <c r="K40" s="5">
        <v>2</v>
      </c>
      <c r="L40" s="5">
        <v>44</v>
      </c>
      <c r="M40" s="3" t="s">
        <v>227</v>
      </c>
      <c r="N40" s="3" t="s">
        <v>228</v>
      </c>
      <c r="O40" s="3" t="s">
        <v>62</v>
      </c>
      <c r="P40" s="3" t="s">
        <v>229</v>
      </c>
      <c r="Q40" s="3" t="s">
        <v>32</v>
      </c>
    </row>
    <row r="41" spans="1:17" ht="27.75" customHeight="1" x14ac:dyDescent="0.2">
      <c r="A41" s="2">
        <v>36</v>
      </c>
      <c r="B41" s="3" t="s">
        <v>20</v>
      </c>
      <c r="C41" s="3" t="s">
        <v>21</v>
      </c>
      <c r="D41" s="4" t="s">
        <v>230</v>
      </c>
      <c r="E41" s="3" t="s">
        <v>231</v>
      </c>
      <c r="F41" s="3" t="s">
        <v>232</v>
      </c>
      <c r="G41" s="3" t="s">
        <v>233</v>
      </c>
      <c r="H41" s="3" t="s">
        <v>234</v>
      </c>
      <c r="I41" s="2" t="s">
        <v>38</v>
      </c>
      <c r="J41" s="5">
        <v>45</v>
      </c>
      <c r="K41" s="5">
        <v>1</v>
      </c>
      <c r="L41" s="5">
        <v>11</v>
      </c>
      <c r="M41" s="3" t="s">
        <v>235</v>
      </c>
      <c r="N41" s="3" t="s">
        <v>236</v>
      </c>
      <c r="O41" s="3" t="s">
        <v>62</v>
      </c>
      <c r="P41" s="3" t="s">
        <v>237</v>
      </c>
      <c r="Q41" s="3" t="s">
        <v>32</v>
      </c>
    </row>
    <row r="42" spans="1:17" ht="39.75" customHeight="1" x14ac:dyDescent="0.2">
      <c r="A42" s="2">
        <v>37</v>
      </c>
      <c r="B42" s="3" t="s">
        <v>20</v>
      </c>
      <c r="C42" s="3" t="s">
        <v>21</v>
      </c>
      <c r="D42" s="4" t="s">
        <v>238</v>
      </c>
      <c r="E42" s="3" t="s">
        <v>239</v>
      </c>
      <c r="F42" s="3" t="s">
        <v>240</v>
      </c>
      <c r="G42" s="3" t="s">
        <v>59</v>
      </c>
      <c r="H42" s="3" t="s">
        <v>241</v>
      </c>
      <c r="I42" s="2" t="s">
        <v>38</v>
      </c>
      <c r="J42" s="5">
        <v>40</v>
      </c>
      <c r="K42" s="5">
        <v>6</v>
      </c>
      <c r="L42" s="5">
        <v>8</v>
      </c>
      <c r="M42" s="3" t="s">
        <v>242</v>
      </c>
      <c r="N42" s="3" t="s">
        <v>243</v>
      </c>
      <c r="O42" s="3" t="s">
        <v>62</v>
      </c>
      <c r="P42" s="3" t="s">
        <v>244</v>
      </c>
      <c r="Q42" s="3" t="s">
        <v>32</v>
      </c>
    </row>
    <row r="43" spans="1:17" ht="27.75" customHeight="1" x14ac:dyDescent="0.2">
      <c r="A43" s="6">
        <v>38</v>
      </c>
      <c r="B43" s="7" t="s">
        <v>245</v>
      </c>
      <c r="C43" s="7" t="s">
        <v>246</v>
      </c>
      <c r="D43" s="8" t="s">
        <v>247</v>
      </c>
      <c r="E43" s="7" t="s">
        <v>248</v>
      </c>
      <c r="F43" s="7" t="s">
        <v>249</v>
      </c>
      <c r="G43" s="7" t="s">
        <v>36</v>
      </c>
      <c r="H43" s="7" t="s">
        <v>250</v>
      </c>
      <c r="I43" s="6" t="s">
        <v>251</v>
      </c>
      <c r="J43" s="9">
        <v>10793</v>
      </c>
      <c r="K43" s="9">
        <v>0</v>
      </c>
      <c r="L43" s="9">
        <v>10631</v>
      </c>
      <c r="M43" s="7" t="s">
        <v>252</v>
      </c>
      <c r="N43" s="7" t="s">
        <v>253</v>
      </c>
      <c r="O43" s="7" t="s">
        <v>30</v>
      </c>
      <c r="P43" s="7" t="s">
        <v>254</v>
      </c>
      <c r="Q43" s="7" t="s">
        <v>32</v>
      </c>
    </row>
    <row r="44" spans="1:17" ht="63.75" customHeight="1" x14ac:dyDescent="0.2">
      <c r="A44" s="6">
        <v>39</v>
      </c>
      <c r="B44" s="7" t="s">
        <v>245</v>
      </c>
      <c r="C44" s="7" t="s">
        <v>246</v>
      </c>
      <c r="D44" s="8" t="s">
        <v>255</v>
      </c>
      <c r="E44" s="7" t="s">
        <v>256</v>
      </c>
      <c r="F44" s="7" t="s">
        <v>257</v>
      </c>
      <c r="G44" s="7" t="s">
        <v>87</v>
      </c>
      <c r="H44" s="7" t="s">
        <v>258</v>
      </c>
      <c r="I44" s="6" t="s">
        <v>38</v>
      </c>
      <c r="J44" s="9">
        <v>10793</v>
      </c>
      <c r="K44" s="9">
        <v>0</v>
      </c>
      <c r="L44" s="9">
        <v>314</v>
      </c>
      <c r="M44" s="7" t="s">
        <v>259</v>
      </c>
      <c r="N44" s="7" t="s">
        <v>260</v>
      </c>
      <c r="O44" s="7" t="s">
        <v>62</v>
      </c>
      <c r="P44" s="7" t="s">
        <v>261</v>
      </c>
      <c r="Q44" s="7" t="s">
        <v>32</v>
      </c>
    </row>
    <row r="45" spans="1:17" ht="27.75" customHeight="1" x14ac:dyDescent="0.2">
      <c r="A45" s="6">
        <v>40</v>
      </c>
      <c r="B45" s="7" t="s">
        <v>245</v>
      </c>
      <c r="C45" s="7" t="s">
        <v>246</v>
      </c>
      <c r="D45" s="8" t="s">
        <v>262</v>
      </c>
      <c r="E45" s="7" t="s">
        <v>263</v>
      </c>
      <c r="F45" s="7" t="s">
        <v>264</v>
      </c>
      <c r="G45" s="7" t="s">
        <v>265</v>
      </c>
      <c r="H45" s="7" t="s">
        <v>266</v>
      </c>
      <c r="I45" s="6" t="s">
        <v>267</v>
      </c>
      <c r="J45" s="9">
        <v>10793</v>
      </c>
      <c r="K45" s="9">
        <v>0</v>
      </c>
      <c r="L45" s="9">
        <v>17</v>
      </c>
      <c r="M45" s="7" t="s">
        <v>268</v>
      </c>
      <c r="N45" s="7" t="s">
        <v>269</v>
      </c>
      <c r="O45" s="7" t="s">
        <v>30</v>
      </c>
      <c r="P45" s="7" t="s">
        <v>270</v>
      </c>
      <c r="Q45" s="7" t="s">
        <v>271</v>
      </c>
    </row>
    <row r="46" spans="1:17" ht="27.75" customHeight="1" x14ac:dyDescent="0.2">
      <c r="A46" s="6">
        <v>41</v>
      </c>
      <c r="B46" s="7" t="s">
        <v>245</v>
      </c>
      <c r="C46" s="7" t="s">
        <v>246</v>
      </c>
      <c r="D46" s="8" t="s">
        <v>272</v>
      </c>
      <c r="E46" s="7" t="s">
        <v>273</v>
      </c>
      <c r="F46" s="7" t="s">
        <v>264</v>
      </c>
      <c r="G46" s="7" t="s">
        <v>265</v>
      </c>
      <c r="H46" s="7" t="s">
        <v>266</v>
      </c>
      <c r="I46" s="6" t="s">
        <v>274</v>
      </c>
      <c r="J46" s="9">
        <v>10793</v>
      </c>
      <c r="K46" s="9">
        <v>0</v>
      </c>
      <c r="L46" s="9">
        <v>93</v>
      </c>
      <c r="M46" s="7" t="s">
        <v>275</v>
      </c>
      <c r="N46" s="7" t="s">
        <v>276</v>
      </c>
      <c r="O46" s="7" t="s">
        <v>30</v>
      </c>
      <c r="P46" s="7" t="s">
        <v>277</v>
      </c>
      <c r="Q46" s="7" t="s">
        <v>271</v>
      </c>
    </row>
    <row r="47" spans="1:17" ht="27.75" customHeight="1" x14ac:dyDescent="0.2">
      <c r="A47" s="6">
        <v>42</v>
      </c>
      <c r="B47" s="7" t="s">
        <v>245</v>
      </c>
      <c r="C47" s="7" t="s">
        <v>246</v>
      </c>
      <c r="D47" s="8" t="s">
        <v>278</v>
      </c>
      <c r="E47" s="7" t="s">
        <v>279</v>
      </c>
      <c r="F47" s="7" t="s">
        <v>280</v>
      </c>
      <c r="G47" s="7" t="s">
        <v>25</v>
      </c>
      <c r="H47" s="7" t="s">
        <v>250</v>
      </c>
      <c r="I47" s="6" t="s">
        <v>38</v>
      </c>
      <c r="J47" s="9">
        <v>10793</v>
      </c>
      <c r="K47" s="9">
        <v>0</v>
      </c>
      <c r="L47" s="9">
        <v>1057</v>
      </c>
      <c r="M47" s="7" t="s">
        <v>281</v>
      </c>
      <c r="N47" s="7" t="s">
        <v>282</v>
      </c>
      <c r="O47" s="7" t="s">
        <v>283</v>
      </c>
      <c r="P47" s="7" t="s">
        <v>284</v>
      </c>
      <c r="Q47" s="7" t="s">
        <v>285</v>
      </c>
    </row>
    <row r="48" spans="1:17" ht="27.75" customHeight="1" x14ac:dyDescent="0.2">
      <c r="A48" s="6">
        <v>43</v>
      </c>
      <c r="B48" s="7" t="s">
        <v>245</v>
      </c>
      <c r="C48" s="7" t="s">
        <v>246</v>
      </c>
      <c r="D48" s="8" t="s">
        <v>286</v>
      </c>
      <c r="E48" s="7" t="s">
        <v>287</v>
      </c>
      <c r="F48" s="7" t="s">
        <v>288</v>
      </c>
      <c r="G48" s="7" t="s">
        <v>25</v>
      </c>
      <c r="H48" s="7" t="s">
        <v>289</v>
      </c>
      <c r="I48" s="6" t="s">
        <v>38</v>
      </c>
      <c r="J48" s="9">
        <v>10694</v>
      </c>
      <c r="K48" s="9">
        <v>99</v>
      </c>
      <c r="L48" s="9">
        <v>320</v>
      </c>
      <c r="M48" s="7" t="s">
        <v>290</v>
      </c>
      <c r="N48" s="7" t="s">
        <v>291</v>
      </c>
      <c r="O48" s="7" t="s">
        <v>283</v>
      </c>
      <c r="P48" s="7" t="s">
        <v>284</v>
      </c>
      <c r="Q48" s="7" t="s">
        <v>285</v>
      </c>
    </row>
    <row r="49" spans="1:17" ht="27.75" customHeight="1" x14ac:dyDescent="0.2">
      <c r="A49" s="6">
        <v>44</v>
      </c>
      <c r="B49" s="7" t="s">
        <v>245</v>
      </c>
      <c r="C49" s="7" t="s">
        <v>246</v>
      </c>
      <c r="D49" s="8" t="s">
        <v>292</v>
      </c>
      <c r="E49" s="7" t="s">
        <v>293</v>
      </c>
      <c r="F49" s="7" t="s">
        <v>288</v>
      </c>
      <c r="G49" s="7" t="s">
        <v>25</v>
      </c>
      <c r="H49" s="7" t="s">
        <v>289</v>
      </c>
      <c r="I49" s="6" t="s">
        <v>38</v>
      </c>
      <c r="J49" s="9">
        <v>10694</v>
      </c>
      <c r="K49" s="9">
        <v>99</v>
      </c>
      <c r="L49" s="9">
        <v>383</v>
      </c>
      <c r="M49" s="7" t="s">
        <v>294</v>
      </c>
      <c r="N49" s="7" t="s">
        <v>295</v>
      </c>
      <c r="O49" s="7" t="s">
        <v>283</v>
      </c>
      <c r="P49" s="7" t="s">
        <v>296</v>
      </c>
      <c r="Q49" s="7" t="s">
        <v>285</v>
      </c>
    </row>
    <row r="50" spans="1:17" ht="27.75" customHeight="1" x14ac:dyDescent="0.2">
      <c r="A50" s="6">
        <v>45</v>
      </c>
      <c r="B50" s="7" t="s">
        <v>245</v>
      </c>
      <c r="C50" s="7" t="s">
        <v>246</v>
      </c>
      <c r="D50" s="8" t="s">
        <v>297</v>
      </c>
      <c r="E50" s="7" t="s">
        <v>298</v>
      </c>
      <c r="F50" s="7" t="s">
        <v>288</v>
      </c>
      <c r="G50" s="7" t="s">
        <v>25</v>
      </c>
      <c r="H50" s="7" t="s">
        <v>299</v>
      </c>
      <c r="I50" s="6" t="s">
        <v>38</v>
      </c>
      <c r="J50" s="9">
        <v>10445</v>
      </c>
      <c r="K50" s="9">
        <v>348</v>
      </c>
      <c r="L50" s="9">
        <v>375</v>
      </c>
      <c r="M50" s="7" t="s">
        <v>294</v>
      </c>
      <c r="N50" s="7" t="s">
        <v>300</v>
      </c>
      <c r="O50" s="7" t="s">
        <v>283</v>
      </c>
      <c r="P50" s="7" t="s">
        <v>296</v>
      </c>
      <c r="Q50" s="7" t="s">
        <v>285</v>
      </c>
    </row>
    <row r="51" spans="1:17" ht="39.75" customHeight="1" x14ac:dyDescent="0.2">
      <c r="A51" s="6">
        <v>46</v>
      </c>
      <c r="B51" s="7" t="s">
        <v>245</v>
      </c>
      <c r="C51" s="7" t="s">
        <v>246</v>
      </c>
      <c r="D51" s="8" t="s">
        <v>301</v>
      </c>
      <c r="E51" s="7" t="s">
        <v>302</v>
      </c>
      <c r="F51" s="7" t="s">
        <v>288</v>
      </c>
      <c r="G51" s="7" t="s">
        <v>25</v>
      </c>
      <c r="H51" s="7" t="s">
        <v>303</v>
      </c>
      <c r="I51" s="6" t="s">
        <v>38</v>
      </c>
      <c r="J51" s="9">
        <v>9115</v>
      </c>
      <c r="K51" s="9">
        <v>1678</v>
      </c>
      <c r="L51" s="9">
        <v>188</v>
      </c>
      <c r="M51" s="7" t="s">
        <v>304</v>
      </c>
      <c r="N51" s="7" t="s">
        <v>305</v>
      </c>
      <c r="O51" s="7" t="s">
        <v>104</v>
      </c>
      <c r="P51" s="7" t="s">
        <v>306</v>
      </c>
      <c r="Q51" s="7" t="s">
        <v>285</v>
      </c>
    </row>
    <row r="52" spans="1:17" ht="27.75" customHeight="1" x14ac:dyDescent="0.2">
      <c r="A52" s="6">
        <v>47</v>
      </c>
      <c r="B52" s="7" t="s">
        <v>245</v>
      </c>
      <c r="C52" s="7" t="s">
        <v>246</v>
      </c>
      <c r="D52" s="8" t="s">
        <v>307</v>
      </c>
      <c r="E52" s="7" t="s">
        <v>308</v>
      </c>
      <c r="F52" s="7" t="s">
        <v>309</v>
      </c>
      <c r="G52" s="7" t="s">
        <v>25</v>
      </c>
      <c r="H52" s="7" t="s">
        <v>250</v>
      </c>
      <c r="I52" s="6" t="s">
        <v>38</v>
      </c>
      <c r="J52" s="9">
        <v>10793</v>
      </c>
      <c r="K52" s="9">
        <v>0</v>
      </c>
      <c r="L52" s="9">
        <v>49</v>
      </c>
      <c r="M52" s="7" t="s">
        <v>310</v>
      </c>
      <c r="N52" s="7" t="s">
        <v>282</v>
      </c>
      <c r="O52" s="7" t="s">
        <v>104</v>
      </c>
      <c r="P52" s="7" t="s">
        <v>311</v>
      </c>
      <c r="Q52" s="7" t="s">
        <v>285</v>
      </c>
    </row>
    <row r="53" spans="1:17" ht="27.75" customHeight="1" x14ac:dyDescent="0.2">
      <c r="A53" s="6">
        <v>48</v>
      </c>
      <c r="B53" s="7" t="s">
        <v>245</v>
      </c>
      <c r="C53" s="7" t="s">
        <v>246</v>
      </c>
      <c r="D53" s="8" t="s">
        <v>312</v>
      </c>
      <c r="E53" s="7" t="s">
        <v>313</v>
      </c>
      <c r="F53" s="7" t="s">
        <v>309</v>
      </c>
      <c r="G53" s="7" t="s">
        <v>25</v>
      </c>
      <c r="H53" s="7" t="s">
        <v>250</v>
      </c>
      <c r="I53" s="6" t="s">
        <v>38</v>
      </c>
      <c r="J53" s="9">
        <v>10793</v>
      </c>
      <c r="K53" s="9">
        <v>0</v>
      </c>
      <c r="L53" s="9">
        <v>33</v>
      </c>
      <c r="M53" s="7" t="s">
        <v>314</v>
      </c>
      <c r="N53" s="7" t="s">
        <v>282</v>
      </c>
      <c r="O53" s="7" t="s">
        <v>104</v>
      </c>
      <c r="P53" s="7" t="s">
        <v>311</v>
      </c>
      <c r="Q53" s="7" t="s">
        <v>285</v>
      </c>
    </row>
    <row r="54" spans="1:17" ht="27.75" customHeight="1" x14ac:dyDescent="0.2">
      <c r="A54" s="6">
        <v>49</v>
      </c>
      <c r="B54" s="7" t="s">
        <v>245</v>
      </c>
      <c r="C54" s="7" t="s">
        <v>246</v>
      </c>
      <c r="D54" s="8" t="s">
        <v>315</v>
      </c>
      <c r="E54" s="7" t="s">
        <v>316</v>
      </c>
      <c r="F54" s="7" t="s">
        <v>309</v>
      </c>
      <c r="G54" s="7" t="s">
        <v>25</v>
      </c>
      <c r="H54" s="7" t="s">
        <v>250</v>
      </c>
      <c r="I54" s="6" t="s">
        <v>38</v>
      </c>
      <c r="J54" s="9">
        <v>10793</v>
      </c>
      <c r="K54" s="9">
        <v>0</v>
      </c>
      <c r="L54" s="9">
        <v>70</v>
      </c>
      <c r="M54" s="7" t="s">
        <v>317</v>
      </c>
      <c r="N54" s="7" t="s">
        <v>318</v>
      </c>
      <c r="O54" s="7" t="s">
        <v>283</v>
      </c>
      <c r="P54" s="7" t="s">
        <v>284</v>
      </c>
      <c r="Q54" s="7" t="s">
        <v>285</v>
      </c>
    </row>
    <row r="55" spans="1:17" ht="27.75" customHeight="1" x14ac:dyDescent="0.2">
      <c r="A55" s="6">
        <v>50</v>
      </c>
      <c r="B55" s="7" t="s">
        <v>245</v>
      </c>
      <c r="C55" s="7" t="s">
        <v>246</v>
      </c>
      <c r="D55" s="8" t="s">
        <v>319</v>
      </c>
      <c r="E55" s="7" t="s">
        <v>320</v>
      </c>
      <c r="F55" s="7" t="s">
        <v>280</v>
      </c>
      <c r="G55" s="7" t="s">
        <v>25</v>
      </c>
      <c r="H55" s="7" t="s">
        <v>321</v>
      </c>
      <c r="I55" s="6" t="s">
        <v>38</v>
      </c>
      <c r="J55" s="9">
        <v>10639</v>
      </c>
      <c r="K55" s="9">
        <v>154</v>
      </c>
      <c r="L55" s="9">
        <v>1067</v>
      </c>
      <c r="M55" s="7" t="s">
        <v>322</v>
      </c>
      <c r="N55" s="7" t="s">
        <v>323</v>
      </c>
      <c r="O55" s="7" t="s">
        <v>91</v>
      </c>
      <c r="P55" s="7" t="s">
        <v>284</v>
      </c>
      <c r="Q55" s="7" t="s">
        <v>285</v>
      </c>
    </row>
    <row r="56" spans="1:17" ht="27.75" customHeight="1" x14ac:dyDescent="0.2">
      <c r="A56" s="6">
        <v>51</v>
      </c>
      <c r="B56" s="7" t="s">
        <v>245</v>
      </c>
      <c r="C56" s="7" t="s">
        <v>246</v>
      </c>
      <c r="D56" s="8" t="s">
        <v>324</v>
      </c>
      <c r="E56" s="7" t="s">
        <v>325</v>
      </c>
      <c r="F56" s="7" t="s">
        <v>326</v>
      </c>
      <c r="G56" s="7" t="s">
        <v>327</v>
      </c>
      <c r="H56" s="7" t="s">
        <v>328</v>
      </c>
      <c r="I56" s="6" t="s">
        <v>38</v>
      </c>
      <c r="J56" s="9">
        <v>10557</v>
      </c>
      <c r="K56" s="9">
        <v>236</v>
      </c>
      <c r="L56" s="9">
        <v>3206</v>
      </c>
      <c r="M56" s="7" t="s">
        <v>329</v>
      </c>
      <c r="N56" s="7" t="s">
        <v>330</v>
      </c>
      <c r="O56" s="7" t="s">
        <v>91</v>
      </c>
      <c r="P56" s="7" t="s">
        <v>38</v>
      </c>
      <c r="Q56" s="7" t="s">
        <v>32</v>
      </c>
    </row>
    <row r="57" spans="1:17" ht="27.75" customHeight="1" x14ac:dyDescent="0.2">
      <c r="A57" s="6">
        <v>52</v>
      </c>
      <c r="B57" s="7" t="s">
        <v>245</v>
      </c>
      <c r="C57" s="7" t="s">
        <v>246</v>
      </c>
      <c r="D57" s="8" t="s">
        <v>331</v>
      </c>
      <c r="E57" s="7" t="s">
        <v>332</v>
      </c>
      <c r="F57" s="7" t="s">
        <v>333</v>
      </c>
      <c r="G57" s="7" t="s">
        <v>334</v>
      </c>
      <c r="H57" s="7" t="s">
        <v>335</v>
      </c>
      <c r="I57" s="6" t="s">
        <v>38</v>
      </c>
      <c r="J57" s="9">
        <v>10549</v>
      </c>
      <c r="K57" s="9">
        <v>244</v>
      </c>
      <c r="L57" s="9">
        <v>1378</v>
      </c>
      <c r="M57" s="7" t="s">
        <v>336</v>
      </c>
      <c r="N57" s="7" t="s">
        <v>337</v>
      </c>
      <c r="O57" s="7" t="s">
        <v>283</v>
      </c>
      <c r="P57" s="7" t="s">
        <v>38</v>
      </c>
      <c r="Q57" s="7" t="s">
        <v>285</v>
      </c>
    </row>
    <row r="58" spans="1:17" ht="27.75" customHeight="1" x14ac:dyDescent="0.2">
      <c r="A58" s="6">
        <v>53</v>
      </c>
      <c r="B58" s="7" t="s">
        <v>245</v>
      </c>
      <c r="C58" s="7" t="s">
        <v>246</v>
      </c>
      <c r="D58" s="8" t="s">
        <v>338</v>
      </c>
      <c r="E58" s="7" t="s">
        <v>339</v>
      </c>
      <c r="F58" s="7" t="s">
        <v>333</v>
      </c>
      <c r="G58" s="7" t="s">
        <v>340</v>
      </c>
      <c r="H58" s="7" t="s">
        <v>341</v>
      </c>
      <c r="I58" s="6" t="s">
        <v>38</v>
      </c>
      <c r="J58" s="9">
        <v>10169</v>
      </c>
      <c r="K58" s="9">
        <v>624</v>
      </c>
      <c r="L58" s="9">
        <v>544</v>
      </c>
      <c r="M58" s="7" t="s">
        <v>342</v>
      </c>
      <c r="N58" s="7" t="s">
        <v>343</v>
      </c>
      <c r="O58" s="7" t="s">
        <v>91</v>
      </c>
      <c r="P58" s="7" t="s">
        <v>38</v>
      </c>
      <c r="Q58" s="7" t="s">
        <v>285</v>
      </c>
    </row>
    <row r="59" spans="1:17" ht="27.75" customHeight="1" x14ac:dyDescent="0.2">
      <c r="A59" s="6">
        <v>54</v>
      </c>
      <c r="B59" s="7" t="s">
        <v>245</v>
      </c>
      <c r="C59" s="7" t="s">
        <v>246</v>
      </c>
      <c r="D59" s="8" t="s">
        <v>344</v>
      </c>
      <c r="E59" s="7" t="s">
        <v>345</v>
      </c>
      <c r="F59" s="7" t="s">
        <v>346</v>
      </c>
      <c r="G59" s="7" t="s">
        <v>347</v>
      </c>
      <c r="H59" s="7" t="s">
        <v>250</v>
      </c>
      <c r="I59" s="6" t="s">
        <v>38</v>
      </c>
      <c r="J59" s="9">
        <v>10793</v>
      </c>
      <c r="K59" s="9">
        <v>0</v>
      </c>
      <c r="L59" s="9">
        <v>490</v>
      </c>
      <c r="M59" s="7" t="s">
        <v>348</v>
      </c>
      <c r="N59" s="7" t="s">
        <v>349</v>
      </c>
      <c r="O59" s="7" t="s">
        <v>91</v>
      </c>
      <c r="P59" s="7" t="s">
        <v>350</v>
      </c>
      <c r="Q59" s="7" t="s">
        <v>32</v>
      </c>
    </row>
    <row r="60" spans="1:17" ht="27.75" customHeight="1" x14ac:dyDescent="0.2">
      <c r="A60" s="6">
        <v>55</v>
      </c>
      <c r="B60" s="7" t="s">
        <v>245</v>
      </c>
      <c r="C60" s="7" t="s">
        <v>246</v>
      </c>
      <c r="D60" s="8" t="s">
        <v>351</v>
      </c>
      <c r="E60" s="7" t="s">
        <v>352</v>
      </c>
      <c r="F60" s="7" t="s">
        <v>353</v>
      </c>
      <c r="G60" s="7" t="s">
        <v>25</v>
      </c>
      <c r="H60" s="7" t="s">
        <v>250</v>
      </c>
      <c r="I60" s="6" t="s">
        <v>38</v>
      </c>
      <c r="J60" s="9">
        <v>10793</v>
      </c>
      <c r="K60" s="9">
        <v>0</v>
      </c>
      <c r="L60" s="9">
        <v>196</v>
      </c>
      <c r="M60" s="7" t="s">
        <v>354</v>
      </c>
      <c r="N60" s="7" t="s">
        <v>282</v>
      </c>
      <c r="O60" s="7" t="s">
        <v>283</v>
      </c>
      <c r="P60" s="7" t="s">
        <v>38</v>
      </c>
      <c r="Q60" s="7" t="s">
        <v>285</v>
      </c>
    </row>
    <row r="61" spans="1:17" ht="27.75" customHeight="1" x14ac:dyDescent="0.2">
      <c r="A61" s="6">
        <v>56</v>
      </c>
      <c r="B61" s="7" t="s">
        <v>245</v>
      </c>
      <c r="C61" s="7" t="s">
        <v>246</v>
      </c>
      <c r="D61" s="8" t="s">
        <v>355</v>
      </c>
      <c r="E61" s="7" t="s">
        <v>356</v>
      </c>
      <c r="F61" s="7" t="s">
        <v>353</v>
      </c>
      <c r="G61" s="7" t="s">
        <v>25</v>
      </c>
      <c r="H61" s="7" t="s">
        <v>357</v>
      </c>
      <c r="I61" s="6" t="s">
        <v>38</v>
      </c>
      <c r="J61" s="9">
        <v>10538</v>
      </c>
      <c r="K61" s="9">
        <v>255</v>
      </c>
      <c r="L61" s="9">
        <v>81</v>
      </c>
      <c r="M61" s="7" t="s">
        <v>358</v>
      </c>
      <c r="N61" s="7" t="s">
        <v>359</v>
      </c>
      <c r="O61" s="7" t="s">
        <v>283</v>
      </c>
      <c r="P61" s="7" t="s">
        <v>38</v>
      </c>
      <c r="Q61" s="7" t="s">
        <v>285</v>
      </c>
    </row>
    <row r="62" spans="1:17" ht="39.75" customHeight="1" x14ac:dyDescent="0.2">
      <c r="A62" s="6">
        <v>57</v>
      </c>
      <c r="B62" s="7" t="s">
        <v>245</v>
      </c>
      <c r="C62" s="7" t="s">
        <v>246</v>
      </c>
      <c r="D62" s="8" t="s">
        <v>360</v>
      </c>
      <c r="E62" s="7" t="s">
        <v>361</v>
      </c>
      <c r="F62" s="7" t="s">
        <v>353</v>
      </c>
      <c r="G62" s="7" t="s">
        <v>362</v>
      </c>
      <c r="H62" s="7" t="s">
        <v>363</v>
      </c>
      <c r="I62" s="6" t="s">
        <v>38</v>
      </c>
      <c r="J62" s="9">
        <v>10793</v>
      </c>
      <c r="K62" s="9">
        <v>0</v>
      </c>
      <c r="L62" s="9">
        <v>6</v>
      </c>
      <c r="M62" s="7" t="s">
        <v>364</v>
      </c>
      <c r="N62" s="7" t="s">
        <v>365</v>
      </c>
      <c r="O62" s="7" t="s">
        <v>91</v>
      </c>
      <c r="P62" s="7" t="s">
        <v>366</v>
      </c>
      <c r="Q62" s="7" t="s">
        <v>285</v>
      </c>
    </row>
    <row r="63" spans="1:17" ht="39.75" customHeight="1" x14ac:dyDescent="0.2">
      <c r="A63" s="2">
        <v>58</v>
      </c>
      <c r="B63" s="3" t="s">
        <v>367</v>
      </c>
      <c r="C63" s="3" t="s">
        <v>246</v>
      </c>
      <c r="D63" s="4" t="s">
        <v>368</v>
      </c>
      <c r="E63" s="3" t="s">
        <v>369</v>
      </c>
      <c r="F63" s="3" t="s">
        <v>370</v>
      </c>
      <c r="G63" s="3" t="s">
        <v>36</v>
      </c>
      <c r="H63" s="3" t="s">
        <v>371</v>
      </c>
      <c r="I63" s="2" t="s">
        <v>251</v>
      </c>
      <c r="J63" s="5">
        <v>2187</v>
      </c>
      <c r="K63" s="5">
        <v>0</v>
      </c>
      <c r="L63" s="5">
        <v>2163</v>
      </c>
      <c r="M63" s="3" t="s">
        <v>372</v>
      </c>
      <c r="N63" s="3" t="s">
        <v>373</v>
      </c>
      <c r="O63" s="3" t="s">
        <v>30</v>
      </c>
      <c r="P63" s="3" t="s">
        <v>374</v>
      </c>
      <c r="Q63" s="3" t="s">
        <v>285</v>
      </c>
    </row>
    <row r="64" spans="1:17" ht="51.75" customHeight="1" x14ac:dyDescent="0.2">
      <c r="A64" s="2">
        <v>59</v>
      </c>
      <c r="B64" s="3" t="s">
        <v>367</v>
      </c>
      <c r="C64" s="3" t="s">
        <v>246</v>
      </c>
      <c r="D64" s="4" t="s">
        <v>375</v>
      </c>
      <c r="E64" s="3" t="s">
        <v>376</v>
      </c>
      <c r="F64" s="3" t="s">
        <v>370</v>
      </c>
      <c r="G64" s="3" t="s">
        <v>87</v>
      </c>
      <c r="H64" s="3" t="s">
        <v>377</v>
      </c>
      <c r="I64" s="2" t="s">
        <v>38</v>
      </c>
      <c r="J64" s="5">
        <v>2187</v>
      </c>
      <c r="K64" s="5">
        <v>0</v>
      </c>
      <c r="L64" s="5">
        <v>160</v>
      </c>
      <c r="M64" s="3" t="s">
        <v>378</v>
      </c>
      <c r="N64" s="3" t="s">
        <v>379</v>
      </c>
      <c r="O64" s="3" t="s">
        <v>62</v>
      </c>
      <c r="P64" s="3" t="s">
        <v>380</v>
      </c>
      <c r="Q64" s="3" t="s">
        <v>285</v>
      </c>
    </row>
    <row r="65" spans="1:17" ht="27.75" customHeight="1" x14ac:dyDescent="0.2">
      <c r="A65" s="2">
        <v>60</v>
      </c>
      <c r="B65" s="3" t="s">
        <v>367</v>
      </c>
      <c r="C65" s="3" t="s">
        <v>246</v>
      </c>
      <c r="D65" s="4" t="s">
        <v>262</v>
      </c>
      <c r="E65" s="3" t="s">
        <v>263</v>
      </c>
      <c r="F65" s="3" t="s">
        <v>264</v>
      </c>
      <c r="G65" s="3" t="s">
        <v>265</v>
      </c>
      <c r="H65" s="3" t="s">
        <v>371</v>
      </c>
      <c r="I65" s="2" t="s">
        <v>267</v>
      </c>
      <c r="J65" s="5">
        <v>2187</v>
      </c>
      <c r="K65" s="5">
        <v>0</v>
      </c>
      <c r="L65" s="5">
        <v>17</v>
      </c>
      <c r="M65" s="3" t="s">
        <v>381</v>
      </c>
      <c r="N65" s="3" t="s">
        <v>382</v>
      </c>
      <c r="O65" s="3" t="s">
        <v>30</v>
      </c>
      <c r="P65" s="3" t="s">
        <v>38</v>
      </c>
      <c r="Q65" s="3" t="s">
        <v>271</v>
      </c>
    </row>
    <row r="66" spans="1:17" ht="27.75" customHeight="1" x14ac:dyDescent="0.2">
      <c r="A66" s="2">
        <v>61</v>
      </c>
      <c r="B66" s="3" t="s">
        <v>367</v>
      </c>
      <c r="C66" s="3" t="s">
        <v>246</v>
      </c>
      <c r="D66" s="4" t="s">
        <v>272</v>
      </c>
      <c r="E66" s="3" t="s">
        <v>273</v>
      </c>
      <c r="F66" s="3" t="s">
        <v>264</v>
      </c>
      <c r="G66" s="3" t="s">
        <v>265</v>
      </c>
      <c r="H66" s="3" t="s">
        <v>371</v>
      </c>
      <c r="I66" s="2" t="s">
        <v>274</v>
      </c>
      <c r="J66" s="5">
        <v>2187</v>
      </c>
      <c r="K66" s="5">
        <v>0</v>
      </c>
      <c r="L66" s="5">
        <v>32</v>
      </c>
      <c r="M66" s="3" t="s">
        <v>383</v>
      </c>
      <c r="N66" s="3" t="s">
        <v>384</v>
      </c>
      <c r="O66" s="3" t="s">
        <v>30</v>
      </c>
      <c r="P66" s="3" t="s">
        <v>385</v>
      </c>
      <c r="Q66" s="3" t="s">
        <v>271</v>
      </c>
    </row>
    <row r="67" spans="1:17" ht="27.75" customHeight="1" x14ac:dyDescent="0.2">
      <c r="A67" s="2">
        <v>62</v>
      </c>
      <c r="B67" s="3" t="s">
        <v>367</v>
      </c>
      <c r="C67" s="3" t="s">
        <v>246</v>
      </c>
      <c r="D67" s="4" t="s">
        <v>386</v>
      </c>
      <c r="E67" s="3" t="s">
        <v>387</v>
      </c>
      <c r="F67" s="3" t="s">
        <v>388</v>
      </c>
      <c r="G67" s="3" t="s">
        <v>265</v>
      </c>
      <c r="H67" s="3" t="s">
        <v>371</v>
      </c>
      <c r="I67" s="2" t="s">
        <v>389</v>
      </c>
      <c r="J67" s="5">
        <v>2187</v>
      </c>
      <c r="K67" s="5">
        <v>0</v>
      </c>
      <c r="L67" s="5">
        <v>9</v>
      </c>
      <c r="M67" s="3" t="s">
        <v>390</v>
      </c>
      <c r="N67" s="3" t="s">
        <v>391</v>
      </c>
      <c r="O67" s="3" t="s">
        <v>30</v>
      </c>
      <c r="P67" s="3" t="s">
        <v>392</v>
      </c>
      <c r="Q67" s="3" t="s">
        <v>285</v>
      </c>
    </row>
    <row r="68" spans="1:17" ht="39.75" customHeight="1" x14ac:dyDescent="0.2">
      <c r="A68" s="2">
        <v>63</v>
      </c>
      <c r="B68" s="3" t="s">
        <v>367</v>
      </c>
      <c r="C68" s="3" t="s">
        <v>246</v>
      </c>
      <c r="D68" s="4" t="s">
        <v>393</v>
      </c>
      <c r="E68" s="3" t="s">
        <v>394</v>
      </c>
      <c r="F68" s="3" t="s">
        <v>388</v>
      </c>
      <c r="G68" s="3" t="s">
        <v>36</v>
      </c>
      <c r="H68" s="3" t="s">
        <v>371</v>
      </c>
      <c r="I68" s="2" t="s">
        <v>38</v>
      </c>
      <c r="J68" s="5">
        <v>2187</v>
      </c>
      <c r="K68" s="5">
        <v>0</v>
      </c>
      <c r="L68" s="5">
        <v>25</v>
      </c>
      <c r="M68" s="3" t="s">
        <v>395</v>
      </c>
      <c r="N68" s="3" t="s">
        <v>396</v>
      </c>
      <c r="O68" s="3" t="s">
        <v>397</v>
      </c>
      <c r="P68" s="3" t="s">
        <v>398</v>
      </c>
      <c r="Q68" s="3" t="s">
        <v>285</v>
      </c>
    </row>
    <row r="69" spans="1:17" ht="27.75" customHeight="1" x14ac:dyDescent="0.2">
      <c r="A69" s="2">
        <v>64</v>
      </c>
      <c r="B69" s="3" t="s">
        <v>367</v>
      </c>
      <c r="C69" s="3" t="s">
        <v>246</v>
      </c>
      <c r="D69" s="4" t="s">
        <v>399</v>
      </c>
      <c r="E69" s="3" t="s">
        <v>400</v>
      </c>
      <c r="F69" s="3" t="s">
        <v>401</v>
      </c>
      <c r="G69" s="3" t="s">
        <v>25</v>
      </c>
      <c r="H69" s="3" t="s">
        <v>402</v>
      </c>
      <c r="I69" s="2" t="s">
        <v>38</v>
      </c>
      <c r="J69" s="5">
        <v>2187</v>
      </c>
      <c r="K69" s="5">
        <v>0</v>
      </c>
      <c r="L69" s="5">
        <v>245</v>
      </c>
      <c r="M69" s="3" t="s">
        <v>403</v>
      </c>
      <c r="N69" s="3" t="s">
        <v>404</v>
      </c>
      <c r="O69" s="3" t="s">
        <v>104</v>
      </c>
      <c r="P69" s="3" t="s">
        <v>405</v>
      </c>
      <c r="Q69" s="3" t="s">
        <v>285</v>
      </c>
    </row>
    <row r="70" spans="1:17" ht="27.75" customHeight="1" x14ac:dyDescent="0.2">
      <c r="A70" s="2">
        <v>65</v>
      </c>
      <c r="B70" s="3" t="s">
        <v>367</v>
      </c>
      <c r="C70" s="3" t="s">
        <v>246</v>
      </c>
      <c r="D70" s="4" t="s">
        <v>406</v>
      </c>
      <c r="E70" s="3" t="s">
        <v>407</v>
      </c>
      <c r="F70" s="3" t="s">
        <v>370</v>
      </c>
      <c r="G70" s="3" t="s">
        <v>87</v>
      </c>
      <c r="H70" s="3" t="s">
        <v>371</v>
      </c>
      <c r="I70" s="2" t="s">
        <v>38</v>
      </c>
      <c r="J70" s="5">
        <v>2187</v>
      </c>
      <c r="K70" s="5">
        <v>0</v>
      </c>
      <c r="L70" s="5">
        <v>96</v>
      </c>
      <c r="M70" s="3" t="s">
        <v>408</v>
      </c>
      <c r="N70" s="3" t="s">
        <v>409</v>
      </c>
      <c r="O70" s="3" t="s">
        <v>104</v>
      </c>
      <c r="P70" s="3" t="s">
        <v>410</v>
      </c>
      <c r="Q70" s="3" t="s">
        <v>285</v>
      </c>
    </row>
    <row r="71" spans="1:17" ht="39.75" customHeight="1" x14ac:dyDescent="0.2">
      <c r="A71" s="2">
        <v>66</v>
      </c>
      <c r="B71" s="3" t="s">
        <v>367</v>
      </c>
      <c r="C71" s="3" t="s">
        <v>246</v>
      </c>
      <c r="D71" s="4" t="s">
        <v>411</v>
      </c>
      <c r="E71" s="3" t="s">
        <v>412</v>
      </c>
      <c r="F71" s="3" t="s">
        <v>370</v>
      </c>
      <c r="G71" s="3" t="s">
        <v>87</v>
      </c>
      <c r="H71" s="3" t="s">
        <v>413</v>
      </c>
      <c r="I71" s="2" t="s">
        <v>38</v>
      </c>
      <c r="J71" s="5">
        <v>1993</v>
      </c>
      <c r="K71" s="5">
        <v>194</v>
      </c>
      <c r="L71" s="5">
        <v>88</v>
      </c>
      <c r="M71" s="3" t="s">
        <v>414</v>
      </c>
      <c r="N71" s="3" t="s">
        <v>415</v>
      </c>
      <c r="O71" s="3" t="s">
        <v>104</v>
      </c>
      <c r="P71" s="3" t="s">
        <v>416</v>
      </c>
      <c r="Q71" s="3" t="s">
        <v>285</v>
      </c>
    </row>
    <row r="72" spans="1:17" ht="27.75" customHeight="1" x14ac:dyDescent="0.2">
      <c r="A72" s="2">
        <v>67</v>
      </c>
      <c r="B72" s="3" t="s">
        <v>367</v>
      </c>
      <c r="C72" s="3" t="s">
        <v>246</v>
      </c>
      <c r="D72" s="4" t="s">
        <v>417</v>
      </c>
      <c r="E72" s="3" t="s">
        <v>418</v>
      </c>
      <c r="F72" s="3" t="s">
        <v>401</v>
      </c>
      <c r="G72" s="3" t="s">
        <v>25</v>
      </c>
      <c r="H72" s="3" t="s">
        <v>419</v>
      </c>
      <c r="I72" s="2" t="s">
        <v>38</v>
      </c>
      <c r="J72" s="5">
        <v>2008</v>
      </c>
      <c r="K72" s="5">
        <v>179</v>
      </c>
      <c r="L72" s="5">
        <v>316</v>
      </c>
      <c r="M72" s="3" t="s">
        <v>403</v>
      </c>
      <c r="N72" s="3" t="s">
        <v>420</v>
      </c>
      <c r="O72" s="3" t="s">
        <v>62</v>
      </c>
      <c r="P72" s="3" t="s">
        <v>405</v>
      </c>
      <c r="Q72" s="3" t="s">
        <v>285</v>
      </c>
    </row>
    <row r="73" spans="1:17" ht="27.75" customHeight="1" x14ac:dyDescent="0.2">
      <c r="A73" s="2">
        <v>68</v>
      </c>
      <c r="B73" s="3" t="s">
        <v>367</v>
      </c>
      <c r="C73" s="3" t="s">
        <v>246</v>
      </c>
      <c r="D73" s="4" t="s">
        <v>421</v>
      </c>
      <c r="E73" s="3" t="s">
        <v>422</v>
      </c>
      <c r="F73" s="3" t="s">
        <v>401</v>
      </c>
      <c r="G73" s="3" t="s">
        <v>327</v>
      </c>
      <c r="H73" s="3" t="s">
        <v>423</v>
      </c>
      <c r="I73" s="2" t="s">
        <v>38</v>
      </c>
      <c r="J73" s="5">
        <v>2187</v>
      </c>
      <c r="K73" s="5">
        <v>0</v>
      </c>
      <c r="L73" s="5">
        <v>1661</v>
      </c>
      <c r="M73" s="3" t="s">
        <v>424</v>
      </c>
      <c r="N73" s="3" t="s">
        <v>425</v>
      </c>
      <c r="O73" s="3" t="s">
        <v>91</v>
      </c>
      <c r="P73" s="3" t="s">
        <v>426</v>
      </c>
      <c r="Q73" s="3" t="s">
        <v>285</v>
      </c>
    </row>
    <row r="74" spans="1:17" ht="27.75" customHeight="1" x14ac:dyDescent="0.2">
      <c r="A74" s="2">
        <v>69</v>
      </c>
      <c r="B74" s="3" t="s">
        <v>367</v>
      </c>
      <c r="C74" s="3" t="s">
        <v>246</v>
      </c>
      <c r="D74" s="4" t="s">
        <v>427</v>
      </c>
      <c r="E74" s="3" t="s">
        <v>428</v>
      </c>
      <c r="F74" s="3" t="s">
        <v>401</v>
      </c>
      <c r="G74" s="3" t="s">
        <v>59</v>
      </c>
      <c r="H74" s="3" t="s">
        <v>371</v>
      </c>
      <c r="I74" s="2" t="s">
        <v>38</v>
      </c>
      <c r="J74" s="5">
        <v>2187</v>
      </c>
      <c r="K74" s="5">
        <v>0</v>
      </c>
      <c r="L74" s="5">
        <v>14</v>
      </c>
      <c r="M74" s="3" t="s">
        <v>429</v>
      </c>
      <c r="N74" s="3" t="s">
        <v>430</v>
      </c>
      <c r="O74" s="3" t="s">
        <v>62</v>
      </c>
      <c r="P74" s="3" t="s">
        <v>431</v>
      </c>
      <c r="Q74" s="3" t="s">
        <v>285</v>
      </c>
    </row>
    <row r="75" spans="1:17" ht="27.75" customHeight="1" x14ac:dyDescent="0.2">
      <c r="A75" s="6">
        <v>70</v>
      </c>
      <c r="B75" s="7" t="s">
        <v>432</v>
      </c>
      <c r="C75" s="7" t="s">
        <v>246</v>
      </c>
      <c r="D75" s="8" t="s">
        <v>433</v>
      </c>
      <c r="E75" s="7" t="s">
        <v>434</v>
      </c>
      <c r="F75" s="7" t="s">
        <v>435</v>
      </c>
      <c r="G75" s="7" t="s">
        <v>36</v>
      </c>
      <c r="H75" s="7" t="s">
        <v>436</v>
      </c>
      <c r="I75" s="6" t="s">
        <v>251</v>
      </c>
      <c r="J75" s="9">
        <v>5665</v>
      </c>
      <c r="K75" s="9">
        <v>0</v>
      </c>
      <c r="L75" s="9">
        <v>5598</v>
      </c>
      <c r="M75" s="7" t="s">
        <v>437</v>
      </c>
      <c r="N75" s="7" t="s">
        <v>438</v>
      </c>
      <c r="O75" s="7" t="s">
        <v>30</v>
      </c>
      <c r="P75" s="7" t="s">
        <v>439</v>
      </c>
      <c r="Q75" s="7" t="s">
        <v>285</v>
      </c>
    </row>
    <row r="76" spans="1:17" ht="27.75" customHeight="1" x14ac:dyDescent="0.2">
      <c r="A76" s="6">
        <v>71</v>
      </c>
      <c r="B76" s="7" t="s">
        <v>432</v>
      </c>
      <c r="C76" s="7" t="s">
        <v>246</v>
      </c>
      <c r="D76" s="8" t="s">
        <v>262</v>
      </c>
      <c r="E76" s="7" t="s">
        <v>263</v>
      </c>
      <c r="F76" s="7" t="s">
        <v>435</v>
      </c>
      <c r="G76" s="7" t="s">
        <v>265</v>
      </c>
      <c r="H76" s="7" t="s">
        <v>436</v>
      </c>
      <c r="I76" s="6" t="s">
        <v>267</v>
      </c>
      <c r="J76" s="9">
        <v>5665</v>
      </c>
      <c r="K76" s="9">
        <v>0</v>
      </c>
      <c r="L76" s="9">
        <v>17</v>
      </c>
      <c r="M76" s="7" t="s">
        <v>268</v>
      </c>
      <c r="N76" s="7" t="s">
        <v>440</v>
      </c>
      <c r="O76" s="7" t="s">
        <v>30</v>
      </c>
      <c r="P76" s="7" t="s">
        <v>441</v>
      </c>
      <c r="Q76" s="7" t="s">
        <v>285</v>
      </c>
    </row>
    <row r="77" spans="1:17" ht="51.75" customHeight="1" x14ac:dyDescent="0.2">
      <c r="A77" s="6">
        <v>72</v>
      </c>
      <c r="B77" s="7" t="s">
        <v>432</v>
      </c>
      <c r="C77" s="7" t="s">
        <v>246</v>
      </c>
      <c r="D77" s="8" t="s">
        <v>442</v>
      </c>
      <c r="E77" s="7" t="s">
        <v>443</v>
      </c>
      <c r="F77" s="7" t="s">
        <v>435</v>
      </c>
      <c r="G77" s="7" t="s">
        <v>87</v>
      </c>
      <c r="H77" s="7" t="s">
        <v>444</v>
      </c>
      <c r="I77" s="6" t="s">
        <v>38</v>
      </c>
      <c r="J77" s="9">
        <v>5665</v>
      </c>
      <c r="K77" s="9">
        <v>0</v>
      </c>
      <c r="L77" s="9">
        <v>222</v>
      </c>
      <c r="M77" s="7" t="s">
        <v>445</v>
      </c>
      <c r="N77" s="7" t="s">
        <v>446</v>
      </c>
      <c r="O77" s="7" t="s">
        <v>62</v>
      </c>
      <c r="P77" s="7" t="s">
        <v>447</v>
      </c>
      <c r="Q77" s="7" t="s">
        <v>285</v>
      </c>
    </row>
    <row r="78" spans="1:17" ht="27.75" customHeight="1" x14ac:dyDescent="0.2">
      <c r="A78" s="6">
        <v>73</v>
      </c>
      <c r="B78" s="7" t="s">
        <v>432</v>
      </c>
      <c r="C78" s="7" t="s">
        <v>246</v>
      </c>
      <c r="D78" s="8" t="s">
        <v>448</v>
      </c>
      <c r="E78" s="7" t="s">
        <v>449</v>
      </c>
      <c r="F78" s="7" t="s">
        <v>450</v>
      </c>
      <c r="G78" s="7" t="s">
        <v>451</v>
      </c>
      <c r="H78" s="7" t="s">
        <v>452</v>
      </c>
      <c r="I78" s="6" t="s">
        <v>38</v>
      </c>
      <c r="J78" s="9">
        <v>5458</v>
      </c>
      <c r="K78" s="9">
        <v>207</v>
      </c>
      <c r="L78" s="9">
        <v>119</v>
      </c>
      <c r="M78" s="7" t="s">
        <v>453</v>
      </c>
      <c r="N78" s="7" t="s">
        <v>454</v>
      </c>
      <c r="O78" s="7" t="s">
        <v>91</v>
      </c>
      <c r="P78" s="7" t="s">
        <v>38</v>
      </c>
      <c r="Q78" s="7" t="s">
        <v>285</v>
      </c>
    </row>
    <row r="79" spans="1:17" ht="27.75" customHeight="1" x14ac:dyDescent="0.2">
      <c r="A79" s="6">
        <v>74</v>
      </c>
      <c r="B79" s="7" t="s">
        <v>432</v>
      </c>
      <c r="C79" s="7" t="s">
        <v>246</v>
      </c>
      <c r="D79" s="8" t="s">
        <v>455</v>
      </c>
      <c r="E79" s="7" t="s">
        <v>456</v>
      </c>
      <c r="F79" s="7" t="s">
        <v>450</v>
      </c>
      <c r="G79" s="7" t="s">
        <v>59</v>
      </c>
      <c r="H79" s="7" t="s">
        <v>457</v>
      </c>
      <c r="I79" s="6" t="s">
        <v>38</v>
      </c>
      <c r="J79" s="9">
        <v>5532</v>
      </c>
      <c r="K79" s="9">
        <v>133</v>
      </c>
      <c r="L79" s="9">
        <v>8</v>
      </c>
      <c r="M79" s="7" t="s">
        <v>458</v>
      </c>
      <c r="N79" s="7" t="s">
        <v>459</v>
      </c>
      <c r="O79" s="7" t="s">
        <v>91</v>
      </c>
      <c r="P79" s="7" t="s">
        <v>38</v>
      </c>
      <c r="Q79" s="7" t="s">
        <v>285</v>
      </c>
    </row>
    <row r="80" spans="1:17" ht="27.75" customHeight="1" x14ac:dyDescent="0.2">
      <c r="A80" s="6">
        <v>75</v>
      </c>
      <c r="B80" s="7" t="s">
        <v>432</v>
      </c>
      <c r="C80" s="7" t="s">
        <v>246</v>
      </c>
      <c r="D80" s="8" t="s">
        <v>460</v>
      </c>
      <c r="E80" s="7" t="s">
        <v>461</v>
      </c>
      <c r="F80" s="7" t="s">
        <v>450</v>
      </c>
      <c r="G80" s="7" t="s">
        <v>59</v>
      </c>
      <c r="H80" s="7" t="s">
        <v>436</v>
      </c>
      <c r="I80" s="6" t="s">
        <v>38</v>
      </c>
      <c r="J80" s="9">
        <v>5665</v>
      </c>
      <c r="K80" s="9">
        <v>0</v>
      </c>
      <c r="L80" s="9">
        <v>33</v>
      </c>
      <c r="M80" s="7" t="s">
        <v>462</v>
      </c>
      <c r="N80" s="7" t="s">
        <v>463</v>
      </c>
      <c r="O80" s="7" t="s">
        <v>62</v>
      </c>
      <c r="P80" s="7" t="s">
        <v>441</v>
      </c>
      <c r="Q80" s="7" t="s">
        <v>285</v>
      </c>
    </row>
    <row r="81" spans="1:17" ht="39.75" customHeight="1" x14ac:dyDescent="0.2">
      <c r="A81" s="6">
        <v>76</v>
      </c>
      <c r="B81" s="7" t="s">
        <v>432</v>
      </c>
      <c r="C81" s="7" t="s">
        <v>246</v>
      </c>
      <c r="D81" s="8" t="s">
        <v>464</v>
      </c>
      <c r="E81" s="7" t="s">
        <v>465</v>
      </c>
      <c r="F81" s="7" t="s">
        <v>450</v>
      </c>
      <c r="G81" s="7" t="s">
        <v>59</v>
      </c>
      <c r="H81" s="7" t="s">
        <v>466</v>
      </c>
      <c r="I81" s="6" t="s">
        <v>38</v>
      </c>
      <c r="J81" s="9">
        <v>5418</v>
      </c>
      <c r="K81" s="9">
        <v>247</v>
      </c>
      <c r="L81" s="9">
        <v>6</v>
      </c>
      <c r="M81" s="7" t="s">
        <v>467</v>
      </c>
      <c r="N81" s="7" t="s">
        <v>468</v>
      </c>
      <c r="O81" s="7" t="s">
        <v>91</v>
      </c>
      <c r="P81" s="7" t="s">
        <v>469</v>
      </c>
      <c r="Q81" s="7" t="s">
        <v>285</v>
      </c>
    </row>
    <row r="82" spans="1:17" ht="27.75" customHeight="1" x14ac:dyDescent="0.2">
      <c r="A82" s="6">
        <v>77</v>
      </c>
      <c r="B82" s="7" t="s">
        <v>432</v>
      </c>
      <c r="C82" s="7" t="s">
        <v>246</v>
      </c>
      <c r="D82" s="8" t="s">
        <v>470</v>
      </c>
      <c r="E82" s="7" t="s">
        <v>471</v>
      </c>
      <c r="F82" s="7" t="s">
        <v>472</v>
      </c>
      <c r="G82" s="7" t="s">
        <v>265</v>
      </c>
      <c r="H82" s="7" t="s">
        <v>436</v>
      </c>
      <c r="I82" s="6" t="s">
        <v>274</v>
      </c>
      <c r="J82" s="9">
        <v>5665</v>
      </c>
      <c r="K82" s="9">
        <v>0</v>
      </c>
      <c r="L82" s="9">
        <v>36</v>
      </c>
      <c r="M82" s="7" t="s">
        <v>473</v>
      </c>
      <c r="N82" s="7" t="s">
        <v>474</v>
      </c>
      <c r="O82" s="7" t="s">
        <v>30</v>
      </c>
      <c r="P82" s="7" t="s">
        <v>475</v>
      </c>
      <c r="Q82" s="7" t="s">
        <v>32</v>
      </c>
    </row>
    <row r="83" spans="1:17" ht="39.75" customHeight="1" x14ac:dyDescent="0.2">
      <c r="A83" s="6">
        <v>78</v>
      </c>
      <c r="B83" s="7" t="s">
        <v>432</v>
      </c>
      <c r="C83" s="7" t="s">
        <v>246</v>
      </c>
      <c r="D83" s="8" t="s">
        <v>476</v>
      </c>
      <c r="E83" s="7" t="s">
        <v>477</v>
      </c>
      <c r="F83" s="7" t="s">
        <v>478</v>
      </c>
      <c r="G83" s="7" t="s">
        <v>59</v>
      </c>
      <c r="H83" s="7" t="s">
        <v>436</v>
      </c>
      <c r="I83" s="6" t="s">
        <v>38</v>
      </c>
      <c r="J83" s="9">
        <v>5665</v>
      </c>
      <c r="K83" s="9">
        <v>0</v>
      </c>
      <c r="L83" s="9">
        <v>6</v>
      </c>
      <c r="M83" s="7" t="s">
        <v>479</v>
      </c>
      <c r="N83" s="7" t="s">
        <v>480</v>
      </c>
      <c r="O83" s="7" t="s">
        <v>104</v>
      </c>
      <c r="P83" s="7" t="s">
        <v>481</v>
      </c>
      <c r="Q83" s="7" t="s">
        <v>285</v>
      </c>
    </row>
    <row r="84" spans="1:17" ht="27.75" customHeight="1" x14ac:dyDescent="0.2">
      <c r="A84" s="6">
        <v>79</v>
      </c>
      <c r="B84" s="7" t="s">
        <v>432</v>
      </c>
      <c r="C84" s="7" t="s">
        <v>246</v>
      </c>
      <c r="D84" s="8" t="s">
        <v>482</v>
      </c>
      <c r="E84" s="7" t="s">
        <v>483</v>
      </c>
      <c r="F84" s="7" t="s">
        <v>478</v>
      </c>
      <c r="G84" s="7" t="s">
        <v>484</v>
      </c>
      <c r="H84" s="7" t="s">
        <v>485</v>
      </c>
      <c r="I84" s="6" t="s">
        <v>38</v>
      </c>
      <c r="J84" s="9">
        <v>5562</v>
      </c>
      <c r="K84" s="9">
        <v>103</v>
      </c>
      <c r="L84" s="9">
        <v>362</v>
      </c>
      <c r="M84" s="7" t="s">
        <v>486</v>
      </c>
      <c r="N84" s="7" t="s">
        <v>487</v>
      </c>
      <c r="O84" s="7" t="s">
        <v>104</v>
      </c>
      <c r="P84" s="7" t="s">
        <v>488</v>
      </c>
      <c r="Q84" s="7" t="s">
        <v>285</v>
      </c>
    </row>
    <row r="85" spans="1:17" ht="27.75" customHeight="1" x14ac:dyDescent="0.2">
      <c r="A85" s="6">
        <v>80</v>
      </c>
      <c r="B85" s="7" t="s">
        <v>432</v>
      </c>
      <c r="C85" s="7" t="s">
        <v>246</v>
      </c>
      <c r="D85" s="8" t="s">
        <v>489</v>
      </c>
      <c r="E85" s="7" t="s">
        <v>490</v>
      </c>
      <c r="F85" s="7" t="s">
        <v>491</v>
      </c>
      <c r="G85" s="7" t="s">
        <v>492</v>
      </c>
      <c r="H85" s="7" t="s">
        <v>436</v>
      </c>
      <c r="I85" s="6" t="s">
        <v>38</v>
      </c>
      <c r="J85" s="9">
        <v>5665</v>
      </c>
      <c r="K85" s="9">
        <v>0</v>
      </c>
      <c r="L85" s="9">
        <v>6</v>
      </c>
      <c r="M85" s="7" t="s">
        <v>493</v>
      </c>
      <c r="N85" s="7" t="s">
        <v>494</v>
      </c>
      <c r="O85" s="7" t="s">
        <v>62</v>
      </c>
      <c r="P85" s="7" t="s">
        <v>495</v>
      </c>
      <c r="Q85" s="7" t="s">
        <v>285</v>
      </c>
    </row>
    <row r="86" spans="1:17" ht="27.75" customHeight="1" x14ac:dyDescent="0.2">
      <c r="A86" s="6">
        <v>81</v>
      </c>
      <c r="B86" s="7" t="s">
        <v>432</v>
      </c>
      <c r="C86" s="7" t="s">
        <v>246</v>
      </c>
      <c r="D86" s="8" t="s">
        <v>496</v>
      </c>
      <c r="E86" s="7" t="s">
        <v>497</v>
      </c>
      <c r="F86" s="7" t="s">
        <v>491</v>
      </c>
      <c r="G86" s="7" t="s">
        <v>492</v>
      </c>
      <c r="H86" s="7" t="s">
        <v>436</v>
      </c>
      <c r="I86" s="6" t="s">
        <v>38</v>
      </c>
      <c r="J86" s="9">
        <v>5665</v>
      </c>
      <c r="K86" s="9">
        <v>0</v>
      </c>
      <c r="L86" s="9">
        <v>4</v>
      </c>
      <c r="M86" s="7" t="s">
        <v>493</v>
      </c>
      <c r="N86" s="7" t="s">
        <v>498</v>
      </c>
      <c r="O86" s="7" t="s">
        <v>62</v>
      </c>
      <c r="P86" s="7" t="s">
        <v>495</v>
      </c>
      <c r="Q86" s="7" t="s">
        <v>285</v>
      </c>
    </row>
    <row r="87" spans="1:17" ht="27.75" customHeight="1" x14ac:dyDescent="0.2">
      <c r="A87" s="6">
        <v>82</v>
      </c>
      <c r="B87" s="7" t="s">
        <v>432</v>
      </c>
      <c r="C87" s="7" t="s">
        <v>246</v>
      </c>
      <c r="D87" s="8" t="s">
        <v>499</v>
      </c>
      <c r="E87" s="7" t="s">
        <v>500</v>
      </c>
      <c r="F87" s="7" t="s">
        <v>491</v>
      </c>
      <c r="G87" s="7" t="s">
        <v>340</v>
      </c>
      <c r="H87" s="7" t="s">
        <v>501</v>
      </c>
      <c r="I87" s="6" t="s">
        <v>38</v>
      </c>
      <c r="J87" s="9">
        <v>5254</v>
      </c>
      <c r="K87" s="9">
        <v>411</v>
      </c>
      <c r="L87" s="9">
        <v>50</v>
      </c>
      <c r="M87" s="7" t="s">
        <v>502</v>
      </c>
      <c r="N87" s="7" t="s">
        <v>503</v>
      </c>
      <c r="O87" s="7" t="s">
        <v>62</v>
      </c>
      <c r="P87" s="7" t="s">
        <v>495</v>
      </c>
      <c r="Q87" s="7" t="s">
        <v>285</v>
      </c>
    </row>
    <row r="88" spans="1:17" ht="27.75" customHeight="1" x14ac:dyDescent="0.2">
      <c r="A88" s="6">
        <v>83</v>
      </c>
      <c r="B88" s="7" t="s">
        <v>432</v>
      </c>
      <c r="C88" s="7" t="s">
        <v>246</v>
      </c>
      <c r="D88" s="8" t="s">
        <v>504</v>
      </c>
      <c r="E88" s="7" t="s">
        <v>505</v>
      </c>
      <c r="F88" s="7" t="s">
        <v>491</v>
      </c>
      <c r="G88" s="7" t="s">
        <v>87</v>
      </c>
      <c r="H88" s="7" t="s">
        <v>506</v>
      </c>
      <c r="I88" s="6" t="s">
        <v>38</v>
      </c>
      <c r="J88" s="9">
        <v>5216</v>
      </c>
      <c r="K88" s="9">
        <v>449</v>
      </c>
      <c r="L88" s="9">
        <v>89</v>
      </c>
      <c r="M88" s="7" t="s">
        <v>507</v>
      </c>
      <c r="N88" s="7" t="s">
        <v>508</v>
      </c>
      <c r="O88" s="7" t="s">
        <v>91</v>
      </c>
      <c r="P88" s="7" t="s">
        <v>38</v>
      </c>
      <c r="Q88" s="7" t="s">
        <v>285</v>
      </c>
    </row>
    <row r="89" spans="1:17" ht="27.75" customHeight="1" x14ac:dyDescent="0.2">
      <c r="A89" s="6">
        <v>84</v>
      </c>
      <c r="B89" s="7" t="s">
        <v>432</v>
      </c>
      <c r="C89" s="7" t="s">
        <v>246</v>
      </c>
      <c r="D89" s="8" t="s">
        <v>509</v>
      </c>
      <c r="E89" s="7" t="s">
        <v>510</v>
      </c>
      <c r="F89" s="7" t="s">
        <v>491</v>
      </c>
      <c r="G89" s="7" t="s">
        <v>59</v>
      </c>
      <c r="H89" s="7" t="s">
        <v>511</v>
      </c>
      <c r="I89" s="6" t="s">
        <v>38</v>
      </c>
      <c r="J89" s="9">
        <v>5626</v>
      </c>
      <c r="K89" s="9">
        <v>39</v>
      </c>
      <c r="L89" s="9">
        <v>4</v>
      </c>
      <c r="M89" s="7" t="s">
        <v>512</v>
      </c>
      <c r="N89" s="7" t="s">
        <v>513</v>
      </c>
      <c r="O89" s="7" t="s">
        <v>62</v>
      </c>
      <c r="P89" s="7" t="s">
        <v>514</v>
      </c>
      <c r="Q89" s="7" t="s">
        <v>285</v>
      </c>
    </row>
    <row r="90" spans="1:17" ht="27.75" customHeight="1" x14ac:dyDescent="0.2">
      <c r="A90" s="2">
        <v>85</v>
      </c>
      <c r="B90" s="3" t="s">
        <v>515</v>
      </c>
      <c r="C90" s="3" t="s">
        <v>516</v>
      </c>
      <c r="D90" s="4" t="s">
        <v>272</v>
      </c>
      <c r="E90" s="3" t="s">
        <v>517</v>
      </c>
      <c r="F90" s="3" t="s">
        <v>518</v>
      </c>
      <c r="G90" s="3" t="s">
        <v>36</v>
      </c>
      <c r="H90" s="3" t="s">
        <v>519</v>
      </c>
      <c r="I90" s="2" t="s">
        <v>27</v>
      </c>
      <c r="J90" s="5">
        <v>30</v>
      </c>
      <c r="K90" s="5">
        <v>0</v>
      </c>
      <c r="L90" s="5">
        <v>30</v>
      </c>
      <c r="M90" s="3" t="s">
        <v>383</v>
      </c>
      <c r="N90" s="3" t="s">
        <v>520</v>
      </c>
      <c r="O90" s="3" t="s">
        <v>30</v>
      </c>
      <c r="P90" s="3" t="s">
        <v>521</v>
      </c>
      <c r="Q90" s="3" t="s">
        <v>32</v>
      </c>
    </row>
    <row r="91" spans="1:17" ht="27.75" customHeight="1" x14ac:dyDescent="0.2">
      <c r="A91" s="2">
        <v>86</v>
      </c>
      <c r="B91" s="3" t="s">
        <v>515</v>
      </c>
      <c r="C91" s="3" t="s">
        <v>516</v>
      </c>
      <c r="D91" s="4" t="s">
        <v>522</v>
      </c>
      <c r="E91" s="3" t="s">
        <v>523</v>
      </c>
      <c r="F91" s="3" t="s">
        <v>264</v>
      </c>
      <c r="G91" s="3" t="s">
        <v>36</v>
      </c>
      <c r="H91" s="3" t="s">
        <v>519</v>
      </c>
      <c r="I91" s="2" t="s">
        <v>38</v>
      </c>
      <c r="J91" s="5">
        <v>30</v>
      </c>
      <c r="K91" s="5">
        <v>0</v>
      </c>
      <c r="L91" s="5">
        <v>30</v>
      </c>
      <c r="M91" s="3" t="s">
        <v>524</v>
      </c>
      <c r="N91" s="3" t="s">
        <v>525</v>
      </c>
      <c r="O91" s="3" t="s">
        <v>397</v>
      </c>
      <c r="P91" s="3" t="s">
        <v>38</v>
      </c>
      <c r="Q91" s="3" t="s">
        <v>271</v>
      </c>
    </row>
    <row r="92" spans="1:17" ht="27.75" customHeight="1" x14ac:dyDescent="0.2">
      <c r="A92" s="2">
        <v>87</v>
      </c>
      <c r="B92" s="3" t="s">
        <v>515</v>
      </c>
      <c r="C92" s="3" t="s">
        <v>516</v>
      </c>
      <c r="D92" s="4" t="s">
        <v>526</v>
      </c>
      <c r="E92" s="3" t="s">
        <v>527</v>
      </c>
      <c r="F92" s="3" t="s">
        <v>264</v>
      </c>
      <c r="G92" s="3" t="s">
        <v>59</v>
      </c>
      <c r="H92" s="3" t="s">
        <v>519</v>
      </c>
      <c r="I92" s="2" t="s">
        <v>38</v>
      </c>
      <c r="J92" s="5">
        <v>30</v>
      </c>
      <c r="K92" s="5">
        <v>0</v>
      </c>
      <c r="L92" s="5">
        <v>18</v>
      </c>
      <c r="M92" s="3" t="s">
        <v>528</v>
      </c>
      <c r="N92" s="3" t="s">
        <v>529</v>
      </c>
      <c r="O92" s="3" t="s">
        <v>397</v>
      </c>
      <c r="P92" s="3" t="s">
        <v>530</v>
      </c>
      <c r="Q92" s="3" t="s">
        <v>271</v>
      </c>
    </row>
    <row r="93" spans="1:17" ht="27.75" customHeight="1" x14ac:dyDescent="0.2">
      <c r="A93" s="2">
        <v>88</v>
      </c>
      <c r="B93" s="3" t="s">
        <v>515</v>
      </c>
      <c r="C93" s="3" t="s">
        <v>516</v>
      </c>
      <c r="D93" s="4" t="s">
        <v>531</v>
      </c>
      <c r="E93" s="3" t="s">
        <v>532</v>
      </c>
      <c r="F93" s="3" t="s">
        <v>533</v>
      </c>
      <c r="G93" s="3" t="s">
        <v>59</v>
      </c>
      <c r="H93" s="3" t="s">
        <v>519</v>
      </c>
      <c r="I93" s="2" t="s">
        <v>38</v>
      </c>
      <c r="J93" s="5">
        <v>30</v>
      </c>
      <c r="K93" s="5">
        <v>0</v>
      </c>
      <c r="L93" s="5">
        <v>2</v>
      </c>
      <c r="M93" s="3" t="s">
        <v>534</v>
      </c>
      <c r="N93" s="3" t="s">
        <v>535</v>
      </c>
      <c r="O93" s="3" t="s">
        <v>121</v>
      </c>
      <c r="P93" s="3" t="s">
        <v>270</v>
      </c>
      <c r="Q93" s="3" t="s">
        <v>32</v>
      </c>
    </row>
    <row r="94" spans="1:17" ht="27.75" customHeight="1" x14ac:dyDescent="0.2">
      <c r="A94" s="2">
        <v>89</v>
      </c>
      <c r="B94" s="3" t="s">
        <v>515</v>
      </c>
      <c r="C94" s="3" t="s">
        <v>516</v>
      </c>
      <c r="D94" s="4" t="s">
        <v>536</v>
      </c>
      <c r="E94" s="3" t="s">
        <v>537</v>
      </c>
      <c r="F94" s="3" t="s">
        <v>264</v>
      </c>
      <c r="G94" s="3" t="s">
        <v>36</v>
      </c>
      <c r="H94" s="3" t="s">
        <v>519</v>
      </c>
      <c r="I94" s="2" t="s">
        <v>38</v>
      </c>
      <c r="J94" s="5">
        <v>30</v>
      </c>
      <c r="K94" s="5">
        <v>0</v>
      </c>
      <c r="L94" s="5">
        <v>7</v>
      </c>
      <c r="M94" s="3" t="s">
        <v>538</v>
      </c>
      <c r="N94" s="3" t="s">
        <v>158</v>
      </c>
      <c r="O94" s="3" t="s">
        <v>397</v>
      </c>
      <c r="P94" s="3" t="s">
        <v>38</v>
      </c>
      <c r="Q94" s="3" t="s">
        <v>271</v>
      </c>
    </row>
    <row r="95" spans="1:17" ht="27.75" customHeight="1" x14ac:dyDescent="0.2">
      <c r="A95" s="2">
        <v>90</v>
      </c>
      <c r="B95" s="3" t="s">
        <v>515</v>
      </c>
      <c r="C95" s="3" t="s">
        <v>516</v>
      </c>
      <c r="D95" s="4" t="s">
        <v>421</v>
      </c>
      <c r="E95" s="3" t="s">
        <v>539</v>
      </c>
      <c r="F95" s="3" t="s">
        <v>540</v>
      </c>
      <c r="G95" s="3" t="s">
        <v>327</v>
      </c>
      <c r="H95" s="3" t="s">
        <v>541</v>
      </c>
      <c r="I95" s="2" t="s">
        <v>38</v>
      </c>
      <c r="J95" s="5">
        <v>30</v>
      </c>
      <c r="K95" s="5">
        <v>0</v>
      </c>
      <c r="L95" s="5">
        <v>25</v>
      </c>
      <c r="M95" s="3" t="s">
        <v>542</v>
      </c>
      <c r="N95" s="3" t="s">
        <v>543</v>
      </c>
      <c r="O95" s="3" t="s">
        <v>104</v>
      </c>
      <c r="P95" s="3" t="s">
        <v>544</v>
      </c>
      <c r="Q95" s="3" t="s">
        <v>32</v>
      </c>
    </row>
    <row r="96" spans="1:17" ht="27.75" customHeight="1" x14ac:dyDescent="0.2">
      <c r="A96" s="2">
        <v>91</v>
      </c>
      <c r="B96" s="3" t="s">
        <v>515</v>
      </c>
      <c r="C96" s="3" t="s">
        <v>516</v>
      </c>
      <c r="D96" s="4" t="s">
        <v>545</v>
      </c>
      <c r="E96" s="3" t="s">
        <v>546</v>
      </c>
      <c r="F96" s="3" t="s">
        <v>264</v>
      </c>
      <c r="G96" s="3" t="s">
        <v>25</v>
      </c>
      <c r="H96" s="3" t="s">
        <v>541</v>
      </c>
      <c r="I96" s="2" t="s">
        <v>38</v>
      </c>
      <c r="J96" s="5">
        <v>30</v>
      </c>
      <c r="K96" s="5">
        <v>0</v>
      </c>
      <c r="L96" s="5">
        <v>4</v>
      </c>
      <c r="M96" s="3" t="s">
        <v>547</v>
      </c>
      <c r="N96" s="3" t="s">
        <v>548</v>
      </c>
      <c r="O96" s="3" t="s">
        <v>397</v>
      </c>
      <c r="P96" s="3" t="s">
        <v>38</v>
      </c>
      <c r="Q96" s="3" t="s">
        <v>271</v>
      </c>
    </row>
    <row r="97" spans="1:17" ht="27.75" customHeight="1" x14ac:dyDescent="0.2">
      <c r="A97" s="2">
        <v>92</v>
      </c>
      <c r="B97" s="3" t="s">
        <v>515</v>
      </c>
      <c r="C97" s="3" t="s">
        <v>516</v>
      </c>
      <c r="D97" s="4" t="s">
        <v>549</v>
      </c>
      <c r="E97" s="3" t="s">
        <v>550</v>
      </c>
      <c r="F97" s="3" t="s">
        <v>264</v>
      </c>
      <c r="G97" s="3" t="s">
        <v>492</v>
      </c>
      <c r="H97" s="3" t="s">
        <v>519</v>
      </c>
      <c r="I97" s="2" t="s">
        <v>38</v>
      </c>
      <c r="J97" s="5">
        <v>30</v>
      </c>
      <c r="K97" s="5">
        <v>0</v>
      </c>
      <c r="L97" s="5">
        <v>2</v>
      </c>
      <c r="M97" s="3" t="s">
        <v>551</v>
      </c>
      <c r="N97" s="3" t="s">
        <v>552</v>
      </c>
      <c r="O97" s="3" t="s">
        <v>121</v>
      </c>
      <c r="P97" s="3" t="s">
        <v>553</v>
      </c>
      <c r="Q97" s="3" t="s">
        <v>271</v>
      </c>
    </row>
    <row r="98" spans="1:17" ht="27.75" customHeight="1" x14ac:dyDescent="0.2">
      <c r="A98" s="2">
        <v>93</v>
      </c>
      <c r="B98" s="3" t="s">
        <v>515</v>
      </c>
      <c r="C98" s="3" t="s">
        <v>516</v>
      </c>
      <c r="D98" s="4" t="s">
        <v>554</v>
      </c>
      <c r="E98" s="3" t="s">
        <v>555</v>
      </c>
      <c r="F98" s="3" t="s">
        <v>264</v>
      </c>
      <c r="G98" s="3" t="s">
        <v>265</v>
      </c>
      <c r="H98" s="3" t="s">
        <v>519</v>
      </c>
      <c r="I98" s="2" t="s">
        <v>389</v>
      </c>
      <c r="J98" s="5">
        <v>30</v>
      </c>
      <c r="K98" s="5">
        <v>0</v>
      </c>
      <c r="L98" s="5">
        <v>8</v>
      </c>
      <c r="M98" s="3" t="s">
        <v>390</v>
      </c>
      <c r="N98" s="3" t="s">
        <v>556</v>
      </c>
      <c r="O98" s="3" t="s">
        <v>30</v>
      </c>
      <c r="P98" s="3" t="s">
        <v>38</v>
      </c>
      <c r="Q98" s="3" t="s">
        <v>271</v>
      </c>
    </row>
    <row r="99" spans="1:17" ht="27.75" customHeight="1" x14ac:dyDescent="0.2">
      <c r="A99" s="2">
        <v>94</v>
      </c>
      <c r="B99" s="3" t="s">
        <v>515</v>
      </c>
      <c r="C99" s="3" t="s">
        <v>516</v>
      </c>
      <c r="D99" s="4" t="s">
        <v>557</v>
      </c>
      <c r="E99" s="3" t="s">
        <v>558</v>
      </c>
      <c r="F99" s="3" t="s">
        <v>264</v>
      </c>
      <c r="G99" s="3" t="s">
        <v>25</v>
      </c>
      <c r="H99" s="3" t="s">
        <v>541</v>
      </c>
      <c r="I99" s="2" t="s">
        <v>38</v>
      </c>
      <c r="J99" s="5">
        <v>30</v>
      </c>
      <c r="K99" s="5">
        <v>0</v>
      </c>
      <c r="L99" s="5">
        <v>6</v>
      </c>
      <c r="M99" s="3" t="s">
        <v>559</v>
      </c>
      <c r="N99" s="3" t="s">
        <v>560</v>
      </c>
      <c r="O99" s="3" t="s">
        <v>104</v>
      </c>
      <c r="P99" s="3" t="s">
        <v>561</v>
      </c>
      <c r="Q99" s="3" t="s">
        <v>271</v>
      </c>
    </row>
    <row r="100" spans="1:17" ht="27.75" customHeight="1" x14ac:dyDescent="0.2">
      <c r="A100" s="6">
        <v>95</v>
      </c>
      <c r="B100" s="7" t="s">
        <v>562</v>
      </c>
      <c r="C100" s="7" t="s">
        <v>516</v>
      </c>
      <c r="D100" s="8" t="s">
        <v>386</v>
      </c>
      <c r="E100" s="7" t="s">
        <v>563</v>
      </c>
      <c r="F100" s="7" t="s">
        <v>564</v>
      </c>
      <c r="G100" s="7" t="s">
        <v>36</v>
      </c>
      <c r="H100" s="7" t="s">
        <v>565</v>
      </c>
      <c r="I100" s="6" t="s">
        <v>27</v>
      </c>
      <c r="J100" s="9">
        <v>9</v>
      </c>
      <c r="K100" s="9">
        <v>0</v>
      </c>
      <c r="L100" s="9">
        <v>9</v>
      </c>
      <c r="M100" s="7" t="s">
        <v>390</v>
      </c>
      <c r="N100" s="7" t="s">
        <v>566</v>
      </c>
      <c r="O100" s="7" t="s">
        <v>30</v>
      </c>
      <c r="P100" s="7" t="s">
        <v>567</v>
      </c>
      <c r="Q100" s="7" t="s">
        <v>285</v>
      </c>
    </row>
    <row r="101" spans="1:17" ht="39.75" customHeight="1" x14ac:dyDescent="0.2">
      <c r="A101" s="6">
        <v>96</v>
      </c>
      <c r="B101" s="7" t="s">
        <v>562</v>
      </c>
      <c r="C101" s="7" t="s">
        <v>516</v>
      </c>
      <c r="D101" s="8" t="s">
        <v>568</v>
      </c>
      <c r="E101" s="7" t="s">
        <v>569</v>
      </c>
      <c r="F101" s="7" t="s">
        <v>564</v>
      </c>
      <c r="G101" s="7" t="s">
        <v>36</v>
      </c>
      <c r="H101" s="7" t="s">
        <v>565</v>
      </c>
      <c r="I101" s="6" t="s">
        <v>38</v>
      </c>
      <c r="J101" s="9">
        <v>9</v>
      </c>
      <c r="K101" s="9">
        <v>0</v>
      </c>
      <c r="L101" s="9">
        <v>9</v>
      </c>
      <c r="M101" s="7" t="s">
        <v>570</v>
      </c>
      <c r="N101" s="7" t="s">
        <v>571</v>
      </c>
      <c r="O101" s="7" t="s">
        <v>397</v>
      </c>
      <c r="P101" s="7" t="s">
        <v>392</v>
      </c>
      <c r="Q101" s="7" t="s">
        <v>285</v>
      </c>
    </row>
    <row r="102" spans="1:17" ht="27.75" customHeight="1" x14ac:dyDescent="0.2">
      <c r="A102" s="6">
        <v>97</v>
      </c>
      <c r="B102" s="7" t="s">
        <v>562</v>
      </c>
      <c r="C102" s="7" t="s">
        <v>516</v>
      </c>
      <c r="D102" s="8" t="s">
        <v>572</v>
      </c>
      <c r="E102" s="7" t="s">
        <v>573</v>
      </c>
      <c r="F102" s="7" t="s">
        <v>564</v>
      </c>
      <c r="G102" s="7" t="s">
        <v>574</v>
      </c>
      <c r="H102" s="7" t="s">
        <v>575</v>
      </c>
      <c r="I102" s="6" t="s">
        <v>38</v>
      </c>
      <c r="J102" s="9">
        <v>9</v>
      </c>
      <c r="K102" s="9">
        <v>0</v>
      </c>
      <c r="L102" s="9">
        <v>8</v>
      </c>
      <c r="M102" s="7" t="s">
        <v>576</v>
      </c>
      <c r="N102" s="7" t="s">
        <v>577</v>
      </c>
      <c r="O102" s="7" t="s">
        <v>104</v>
      </c>
      <c r="P102" s="7" t="s">
        <v>578</v>
      </c>
      <c r="Q102" s="7" t="s">
        <v>285</v>
      </c>
    </row>
    <row r="103" spans="1:17" ht="27.75" customHeight="1" x14ac:dyDescent="0.2">
      <c r="A103" s="2">
        <v>98</v>
      </c>
      <c r="B103" s="3" t="s">
        <v>579</v>
      </c>
      <c r="C103" s="3" t="s">
        <v>516</v>
      </c>
      <c r="D103" s="4" t="s">
        <v>262</v>
      </c>
      <c r="E103" s="3" t="s">
        <v>580</v>
      </c>
      <c r="F103" s="3" t="s">
        <v>581</v>
      </c>
      <c r="G103" s="3" t="s">
        <v>36</v>
      </c>
      <c r="H103" s="3" t="s">
        <v>582</v>
      </c>
      <c r="I103" s="2" t="s">
        <v>27</v>
      </c>
      <c r="J103" s="5">
        <v>4</v>
      </c>
      <c r="K103" s="5">
        <v>0</v>
      </c>
      <c r="L103" s="5">
        <v>4</v>
      </c>
      <c r="M103" s="3" t="s">
        <v>583</v>
      </c>
      <c r="N103" s="3" t="s">
        <v>584</v>
      </c>
      <c r="O103" s="3" t="s">
        <v>30</v>
      </c>
      <c r="P103" s="3" t="s">
        <v>585</v>
      </c>
      <c r="Q103" s="3" t="s">
        <v>285</v>
      </c>
    </row>
    <row r="104" spans="1:17" ht="39.75" customHeight="1" x14ac:dyDescent="0.2">
      <c r="A104" s="2">
        <v>99</v>
      </c>
      <c r="B104" s="3" t="s">
        <v>579</v>
      </c>
      <c r="C104" s="3" t="s">
        <v>516</v>
      </c>
      <c r="D104" s="4" t="s">
        <v>586</v>
      </c>
      <c r="E104" s="3" t="s">
        <v>587</v>
      </c>
      <c r="F104" s="3" t="s">
        <v>581</v>
      </c>
      <c r="G104" s="3" t="s">
        <v>36</v>
      </c>
      <c r="H104" s="3" t="s">
        <v>582</v>
      </c>
      <c r="I104" s="2" t="s">
        <v>38</v>
      </c>
      <c r="J104" s="5">
        <v>4</v>
      </c>
      <c r="K104" s="5">
        <v>0</v>
      </c>
      <c r="L104" s="5">
        <v>4</v>
      </c>
      <c r="M104" s="3" t="s">
        <v>588</v>
      </c>
      <c r="N104" s="3" t="s">
        <v>548</v>
      </c>
      <c r="O104" s="3" t="s">
        <v>397</v>
      </c>
      <c r="P104" s="3" t="s">
        <v>589</v>
      </c>
      <c r="Q104" s="3" t="s">
        <v>285</v>
      </c>
    </row>
    <row r="105" spans="1:17" ht="27.75" customHeight="1" x14ac:dyDescent="0.2">
      <c r="A105" s="2">
        <v>100</v>
      </c>
      <c r="B105" s="3" t="s">
        <v>579</v>
      </c>
      <c r="C105" s="3" t="s">
        <v>516</v>
      </c>
      <c r="D105" s="4" t="s">
        <v>590</v>
      </c>
      <c r="E105" s="3" t="s">
        <v>591</v>
      </c>
      <c r="F105" s="3" t="s">
        <v>581</v>
      </c>
      <c r="G105" s="3" t="s">
        <v>59</v>
      </c>
      <c r="H105" s="3" t="s">
        <v>582</v>
      </c>
      <c r="I105" s="2" t="s">
        <v>38</v>
      </c>
      <c r="J105" s="5">
        <v>4</v>
      </c>
      <c r="K105" s="5">
        <v>0</v>
      </c>
      <c r="L105" s="5">
        <v>4</v>
      </c>
      <c r="M105" s="3" t="s">
        <v>592</v>
      </c>
      <c r="N105" s="3" t="s">
        <v>593</v>
      </c>
      <c r="O105" s="3" t="s">
        <v>397</v>
      </c>
      <c r="P105" s="3" t="s">
        <v>38</v>
      </c>
      <c r="Q105" s="3" t="s">
        <v>285</v>
      </c>
    </row>
    <row r="106" spans="1:17" ht="27.75" customHeight="1" x14ac:dyDescent="0.2">
      <c r="A106" s="2">
        <v>101</v>
      </c>
      <c r="B106" s="3" t="s">
        <v>579</v>
      </c>
      <c r="C106" s="3" t="s">
        <v>516</v>
      </c>
      <c r="D106" s="4" t="s">
        <v>594</v>
      </c>
      <c r="E106" s="3" t="s">
        <v>595</v>
      </c>
      <c r="F106" s="3" t="s">
        <v>581</v>
      </c>
      <c r="G106" s="3" t="s">
        <v>25</v>
      </c>
      <c r="H106" s="3" t="s">
        <v>596</v>
      </c>
      <c r="I106" s="2" t="s">
        <v>38</v>
      </c>
      <c r="J106" s="5">
        <v>4</v>
      </c>
      <c r="K106" s="5">
        <v>0</v>
      </c>
      <c r="L106" s="5">
        <v>4</v>
      </c>
      <c r="M106" s="3" t="s">
        <v>597</v>
      </c>
      <c r="N106" s="3" t="s">
        <v>598</v>
      </c>
      <c r="O106" s="3" t="s">
        <v>397</v>
      </c>
      <c r="P106" s="3" t="s">
        <v>38</v>
      </c>
      <c r="Q106" s="3" t="s">
        <v>285</v>
      </c>
    </row>
  </sheetData>
  <autoFilter ref="A5:Q106" xr:uid="{00000000-0009-0000-0000-000000000000}"/>
  <mergeCells count="3">
    <mergeCell ref="A3:Q3"/>
    <mergeCell ref="A2:Q2"/>
    <mergeCell ref="A1:Q1"/>
  </mergeCells>
  <conditionalFormatting sqref="Q6:Q106">
    <cfRule type="expression" dxfId="3" priority="1">
      <formula>LEFT(Q6,3)="Not"</formula>
    </cfRule>
    <cfRule type="expression" dxfId="2" priority="2">
      <formula>LEFT(Q6,3)="Doc"</formula>
    </cfRule>
  </conditionalFormatting>
  <dataValidations count="1">
    <dataValidation type="list" allowBlank="1" showInputMessage="1" showErrorMessage="1" prompt="Usage Decision - Select a value from the list." sqref="O6:O106" xr:uid="{00000000-0002-0000-0000-000000000000}">
      <formula1>"Key / Join,Analysis (KPI input),Analysis (dimension),Cleaning + Analysis,Cleaning + Flag,Descriptive attribute,Validation only,Reference"</formula1>
    </dataValidation>
  </dataValidations>
  <pageMargins left="0.4" right="0.4" top="0.5" bottom="0.5" header="0" footer="0"/>
  <pageSetup paperSize="9" fitToHeight="0" orientation="landscape"/>
  <headerFooter>
    <oddFooter>&amp;C Page &amp;P of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390625" defaultRowHeight="15" customHeight="1" x14ac:dyDescent="0.2"/>
  <cols>
    <col min="1" max="1" width="25.9609375" customWidth="1"/>
    <col min="2" max="3" width="39.953125" customWidth="1"/>
    <col min="4" max="4" width="48.0234375" customWidth="1"/>
    <col min="5" max="5" width="39.953125" customWidth="1"/>
    <col min="6" max="11" width="8.7421875" customWidth="1"/>
  </cols>
  <sheetData>
    <row r="1" spans="1:5" ht="24" customHeight="1" x14ac:dyDescent="0.2">
      <c r="A1" s="15" t="s">
        <v>0</v>
      </c>
      <c r="B1" s="16"/>
      <c r="C1" s="16"/>
      <c r="D1" s="16"/>
      <c r="E1" s="17"/>
    </row>
    <row r="2" spans="1:5" ht="30" customHeight="1" x14ac:dyDescent="0.2">
      <c r="A2" s="14" t="s">
        <v>599</v>
      </c>
      <c r="B2" s="13"/>
      <c r="C2" s="13"/>
      <c r="D2" s="13"/>
      <c r="E2" s="13"/>
    </row>
    <row r="3" spans="1:5" ht="27.75" customHeight="1" x14ac:dyDescent="0.2">
      <c r="A3" s="12" t="s">
        <v>600</v>
      </c>
      <c r="B3" s="13"/>
      <c r="C3" s="13"/>
      <c r="D3" s="13"/>
      <c r="E3" s="13"/>
    </row>
    <row r="5" spans="1:5" ht="19.5" customHeight="1" x14ac:dyDescent="0.2">
      <c r="A5" s="18" t="s">
        <v>601</v>
      </c>
      <c r="B5" s="16"/>
      <c r="C5" s="16"/>
      <c r="D5" s="16"/>
      <c r="E5" s="17"/>
    </row>
    <row r="6" spans="1:5" ht="31.5" customHeight="1" x14ac:dyDescent="0.2">
      <c r="A6" s="1" t="s">
        <v>4</v>
      </c>
      <c r="B6" s="1" t="s">
        <v>602</v>
      </c>
      <c r="C6" s="1" t="s">
        <v>603</v>
      </c>
      <c r="D6" s="1" t="s">
        <v>604</v>
      </c>
      <c r="E6" s="1" t="s">
        <v>605</v>
      </c>
    </row>
    <row r="7" spans="1:5" ht="21.75" customHeight="1" x14ac:dyDescent="0.2">
      <c r="A7" s="4" t="s">
        <v>20</v>
      </c>
      <c r="B7" s="2">
        <v>37</v>
      </c>
      <c r="C7" s="2">
        <v>37</v>
      </c>
      <c r="D7" s="3" t="s">
        <v>606</v>
      </c>
      <c r="E7" s="3" t="s">
        <v>607</v>
      </c>
    </row>
    <row r="8" spans="1:5" ht="21.75" customHeight="1" x14ac:dyDescent="0.2">
      <c r="A8" s="4" t="s">
        <v>245</v>
      </c>
      <c r="B8" s="2">
        <v>20</v>
      </c>
      <c r="C8" s="2">
        <v>18</v>
      </c>
      <c r="D8" s="3" t="s">
        <v>608</v>
      </c>
      <c r="E8" s="3" t="s">
        <v>609</v>
      </c>
    </row>
    <row r="9" spans="1:5" ht="21.75" customHeight="1" x14ac:dyDescent="0.2">
      <c r="A9" s="4" t="s">
        <v>367</v>
      </c>
      <c r="B9" s="2">
        <v>12</v>
      </c>
      <c r="C9" s="2">
        <v>10</v>
      </c>
      <c r="D9" s="3" t="s">
        <v>608</v>
      </c>
      <c r="E9" s="3" t="s">
        <v>609</v>
      </c>
    </row>
    <row r="10" spans="1:5" ht="21.75" customHeight="1" x14ac:dyDescent="0.2">
      <c r="A10" s="4" t="s">
        <v>432</v>
      </c>
      <c r="B10" s="2">
        <v>15</v>
      </c>
      <c r="C10" s="2">
        <v>15</v>
      </c>
      <c r="D10" s="3" t="s">
        <v>606</v>
      </c>
      <c r="E10" s="3" t="s">
        <v>607</v>
      </c>
    </row>
    <row r="11" spans="1:5" ht="27.75" customHeight="1" x14ac:dyDescent="0.2">
      <c r="A11" s="4" t="s">
        <v>515</v>
      </c>
      <c r="B11" s="2">
        <v>10</v>
      </c>
      <c r="C11" s="2">
        <v>3</v>
      </c>
      <c r="D11" s="3" t="s">
        <v>610</v>
      </c>
      <c r="E11" s="3" t="s">
        <v>609</v>
      </c>
    </row>
    <row r="12" spans="1:5" ht="21.75" customHeight="1" x14ac:dyDescent="0.2">
      <c r="A12" s="4" t="s">
        <v>562</v>
      </c>
      <c r="B12" s="2">
        <v>3</v>
      </c>
      <c r="C12" s="2">
        <v>3</v>
      </c>
      <c r="D12" s="3" t="s">
        <v>606</v>
      </c>
      <c r="E12" s="3" t="s">
        <v>607</v>
      </c>
    </row>
    <row r="13" spans="1:5" ht="21.75" customHeight="1" x14ac:dyDescent="0.2">
      <c r="A13" s="4" t="s">
        <v>579</v>
      </c>
      <c r="B13" s="2">
        <v>4</v>
      </c>
      <c r="C13" s="2">
        <v>4</v>
      </c>
      <c r="D13" s="3" t="s">
        <v>606</v>
      </c>
      <c r="E13" s="3" t="s">
        <v>607</v>
      </c>
    </row>
    <row r="15" spans="1:5" ht="19.5" customHeight="1" x14ac:dyDescent="0.2">
      <c r="A15" s="18" t="s">
        <v>611</v>
      </c>
      <c r="B15" s="16"/>
      <c r="C15" s="16"/>
      <c r="D15" s="16"/>
      <c r="E15" s="17"/>
    </row>
    <row r="16" spans="1:5" ht="31.5" customHeight="1" x14ac:dyDescent="0.2">
      <c r="A16" s="1" t="s">
        <v>612</v>
      </c>
      <c r="B16" s="1" t="s">
        <v>613</v>
      </c>
      <c r="C16" s="1" t="s">
        <v>614</v>
      </c>
      <c r="D16" s="1" t="s">
        <v>615</v>
      </c>
      <c r="E16" s="1" t="s">
        <v>616</v>
      </c>
    </row>
    <row r="17" spans="1:5" ht="27.75" customHeight="1" x14ac:dyDescent="0.2">
      <c r="A17" s="4" t="s">
        <v>617</v>
      </c>
      <c r="B17" s="3" t="s">
        <v>618</v>
      </c>
      <c r="C17" s="3" t="s">
        <v>619</v>
      </c>
      <c r="D17" s="3" t="s">
        <v>620</v>
      </c>
      <c r="E17" s="3" t="s">
        <v>621</v>
      </c>
    </row>
    <row r="18" spans="1:5" ht="39.75" customHeight="1" x14ac:dyDescent="0.2">
      <c r="A18" s="4" t="s">
        <v>622</v>
      </c>
      <c r="B18" s="3" t="s">
        <v>623</v>
      </c>
      <c r="C18" s="3" t="s">
        <v>624</v>
      </c>
      <c r="D18" s="3" t="s">
        <v>625</v>
      </c>
      <c r="E18" s="3" t="s">
        <v>626</v>
      </c>
    </row>
    <row r="19" spans="1:5" ht="27.75" customHeight="1" x14ac:dyDescent="0.2">
      <c r="A19" s="4" t="s">
        <v>627</v>
      </c>
      <c r="B19" s="3" t="s">
        <v>628</v>
      </c>
      <c r="C19" s="3" t="s">
        <v>629</v>
      </c>
      <c r="D19" s="3" t="s">
        <v>630</v>
      </c>
      <c r="E19" s="3" t="s">
        <v>631</v>
      </c>
    </row>
    <row r="20" spans="1:5" ht="27.75" customHeight="1" x14ac:dyDescent="0.2">
      <c r="A20" s="4" t="s">
        <v>632</v>
      </c>
      <c r="B20" s="3" t="s">
        <v>633</v>
      </c>
      <c r="C20" s="3" t="s">
        <v>634</v>
      </c>
      <c r="D20" s="3" t="s">
        <v>635</v>
      </c>
      <c r="E20" s="3" t="s">
        <v>636</v>
      </c>
    </row>
    <row r="21" spans="1:5" ht="27.75" customHeight="1" x14ac:dyDescent="0.2">
      <c r="A21" s="4" t="s">
        <v>637</v>
      </c>
      <c r="B21" s="3" t="s">
        <v>638</v>
      </c>
      <c r="C21" s="3" t="s">
        <v>634</v>
      </c>
      <c r="D21" s="3" t="s">
        <v>639</v>
      </c>
      <c r="E21" s="3" t="s">
        <v>640</v>
      </c>
    </row>
    <row r="22" spans="1:5" ht="27.75" customHeight="1" x14ac:dyDescent="0.2">
      <c r="A22" s="4" t="s">
        <v>641</v>
      </c>
      <c r="B22" s="3" t="s">
        <v>642</v>
      </c>
      <c r="C22" s="3" t="s">
        <v>643</v>
      </c>
      <c r="D22" s="3" t="s">
        <v>644</v>
      </c>
      <c r="E22" s="3" t="s">
        <v>631</v>
      </c>
    </row>
    <row r="23" spans="1:5" ht="27.75" customHeight="1" x14ac:dyDescent="0.2">
      <c r="A23" s="4" t="s">
        <v>645</v>
      </c>
      <c r="B23" s="3" t="s">
        <v>646</v>
      </c>
      <c r="C23" s="3" t="s">
        <v>647</v>
      </c>
      <c r="D23" s="3" t="s">
        <v>648</v>
      </c>
      <c r="E23" s="3" t="s">
        <v>649</v>
      </c>
    </row>
    <row r="24" spans="1:5" ht="39.75" customHeight="1" x14ac:dyDescent="0.2">
      <c r="A24" s="4" t="s">
        <v>650</v>
      </c>
      <c r="B24" s="3" t="s">
        <v>651</v>
      </c>
      <c r="C24" s="3" t="s">
        <v>652</v>
      </c>
      <c r="D24" s="3" t="s">
        <v>653</v>
      </c>
      <c r="E24" s="3" t="s">
        <v>654</v>
      </c>
    </row>
    <row r="25" spans="1:5" ht="27.75" customHeight="1" x14ac:dyDescent="0.2">
      <c r="A25" s="4" t="s">
        <v>655</v>
      </c>
      <c r="B25" s="3" t="s">
        <v>656</v>
      </c>
      <c r="C25" s="3" t="s">
        <v>657</v>
      </c>
      <c r="D25" s="3" t="s">
        <v>658</v>
      </c>
      <c r="E25" s="3" t="s">
        <v>631</v>
      </c>
    </row>
    <row r="26" spans="1:5" ht="27.75" customHeight="1" x14ac:dyDescent="0.2">
      <c r="A26" s="4" t="s">
        <v>659</v>
      </c>
      <c r="B26" s="3" t="s">
        <v>660</v>
      </c>
      <c r="C26" s="3" t="s">
        <v>661</v>
      </c>
      <c r="D26" s="3" t="s">
        <v>662</v>
      </c>
      <c r="E26" s="3" t="s">
        <v>663</v>
      </c>
    </row>
    <row r="27" spans="1:5" ht="27.75" customHeight="1" x14ac:dyDescent="0.2">
      <c r="A27" s="4" t="s">
        <v>664</v>
      </c>
      <c r="B27" s="3" t="s">
        <v>665</v>
      </c>
      <c r="C27" s="3" t="s">
        <v>666</v>
      </c>
      <c r="D27" s="3" t="s">
        <v>667</v>
      </c>
      <c r="E27" s="3" t="s">
        <v>668</v>
      </c>
    </row>
    <row r="28" spans="1:5" ht="27.75" customHeight="1" x14ac:dyDescent="0.2">
      <c r="A28" s="4" t="s">
        <v>669</v>
      </c>
      <c r="B28" s="3" t="s">
        <v>670</v>
      </c>
      <c r="C28" s="3" t="s">
        <v>671</v>
      </c>
      <c r="D28" s="3" t="s">
        <v>672</v>
      </c>
      <c r="E28" s="3" t="s">
        <v>673</v>
      </c>
    </row>
    <row r="29" spans="1:5" ht="27.75" customHeight="1" x14ac:dyDescent="0.2">
      <c r="A29" s="4" t="s">
        <v>674</v>
      </c>
      <c r="B29" s="3" t="s">
        <v>675</v>
      </c>
      <c r="C29" s="3" t="s">
        <v>676</v>
      </c>
      <c r="D29" s="3" t="s">
        <v>677</v>
      </c>
      <c r="E29" s="3" t="s">
        <v>678</v>
      </c>
    </row>
    <row r="30" spans="1:5" ht="39.75" customHeight="1" x14ac:dyDescent="0.2">
      <c r="A30" s="4" t="s">
        <v>679</v>
      </c>
      <c r="B30" s="3" t="s">
        <v>680</v>
      </c>
      <c r="C30" s="3" t="s">
        <v>681</v>
      </c>
      <c r="D30" s="3" t="s">
        <v>682</v>
      </c>
      <c r="E30" s="3" t="s">
        <v>683</v>
      </c>
    </row>
    <row r="31" spans="1:5" ht="27.75" customHeight="1" x14ac:dyDescent="0.2">
      <c r="A31" s="4" t="s">
        <v>684</v>
      </c>
      <c r="B31" s="3" t="s">
        <v>685</v>
      </c>
      <c r="C31" s="3" t="s">
        <v>686</v>
      </c>
      <c r="D31" s="3" t="s">
        <v>687</v>
      </c>
      <c r="E31" s="3" t="s">
        <v>688</v>
      </c>
    </row>
    <row r="32" spans="1:5" ht="39.75" customHeight="1" x14ac:dyDescent="0.2">
      <c r="A32" s="4" t="s">
        <v>689</v>
      </c>
      <c r="B32" s="3" t="s">
        <v>690</v>
      </c>
      <c r="C32" s="3" t="s">
        <v>691</v>
      </c>
      <c r="D32" s="3" t="s">
        <v>692</v>
      </c>
      <c r="E32" s="3" t="s">
        <v>693</v>
      </c>
    </row>
    <row r="33" spans="1:5" ht="27.75" customHeight="1" x14ac:dyDescent="0.2">
      <c r="A33" s="4" t="s">
        <v>694</v>
      </c>
      <c r="B33" s="3" t="s">
        <v>695</v>
      </c>
      <c r="C33" s="3" t="s">
        <v>696</v>
      </c>
      <c r="D33" s="3" t="s">
        <v>697</v>
      </c>
      <c r="E33" s="3" t="s">
        <v>698</v>
      </c>
    </row>
    <row r="34" spans="1:5" ht="63.75" customHeight="1" x14ac:dyDescent="0.2">
      <c r="A34" s="4" t="s">
        <v>699</v>
      </c>
      <c r="B34" s="3" t="s">
        <v>700</v>
      </c>
      <c r="C34" s="3" t="s">
        <v>701</v>
      </c>
      <c r="D34" s="3" t="s">
        <v>702</v>
      </c>
      <c r="E34" s="3" t="s">
        <v>703</v>
      </c>
    </row>
    <row r="35" spans="1:5" ht="15.75" customHeight="1" x14ac:dyDescent="0.2"/>
    <row r="36" spans="1:5" ht="15.75" customHeight="1" x14ac:dyDescent="0.2"/>
    <row r="37" spans="1:5" ht="15.75" customHeight="1" x14ac:dyDescent="0.2"/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5">
    <mergeCell ref="A2:E2"/>
    <mergeCell ref="A15:E15"/>
    <mergeCell ref="A1:E1"/>
    <mergeCell ref="A5:E5"/>
    <mergeCell ref="A3:E3"/>
  </mergeCells>
  <conditionalFormatting sqref="E7:E13">
    <cfRule type="expression" dxfId="1" priority="1">
      <formula>ISNUMBER(SEARCH("Difference",E7))</formula>
    </cfRule>
    <cfRule type="expression" dxfId="0" priority="2">
      <formula>ISNUMBER(SEARCH("Match",E7))</formula>
    </cfRule>
  </conditionalFormatting>
  <pageMargins left="0.4" right="0.4" top="0.5" bottom="0.5" header="0" footer="0"/>
  <pageSetup paperSize="9" fitToHeight="0" orientation="landscape"/>
  <headerFooter>
    <oddFooter>&amp;C 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390625" defaultRowHeight="15" customHeight="1" x14ac:dyDescent="0.2"/>
  <cols>
    <col min="1" max="2" width="16.0078125" customWidth="1"/>
    <col min="3" max="3" width="16.94921875" customWidth="1"/>
    <col min="4" max="4" width="25.9609375" customWidth="1"/>
    <col min="5" max="5" width="16.0078125" customWidth="1"/>
    <col min="6" max="6" width="13.98828125" customWidth="1"/>
    <col min="7" max="7" width="11.02734375" customWidth="1"/>
    <col min="8" max="9" width="16.94921875" customWidth="1"/>
    <col min="10" max="10" width="11.97265625" customWidth="1"/>
    <col min="11" max="11" width="46.00390625" customWidth="1"/>
  </cols>
  <sheetData>
    <row r="1" spans="1:11" ht="24" customHeight="1" x14ac:dyDescent="0.2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30" customHeight="1" x14ac:dyDescent="0.2">
      <c r="A2" s="14" t="s">
        <v>704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27.75" customHeight="1" x14ac:dyDescent="0.2">
      <c r="A3" s="12" t="s">
        <v>705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5" spans="1:11" ht="43.5" customHeight="1" x14ac:dyDescent="0.2">
      <c r="A5" s="1" t="s">
        <v>706</v>
      </c>
      <c r="B5" s="1" t="s">
        <v>707</v>
      </c>
      <c r="C5" s="1" t="s">
        <v>708</v>
      </c>
      <c r="D5" s="1" t="s">
        <v>709</v>
      </c>
      <c r="E5" s="1" t="s">
        <v>710</v>
      </c>
      <c r="F5" s="1" t="s">
        <v>711</v>
      </c>
      <c r="G5" s="1" t="s">
        <v>712</v>
      </c>
      <c r="H5" s="1" t="s">
        <v>713</v>
      </c>
      <c r="I5" s="1" t="s">
        <v>714</v>
      </c>
      <c r="J5" s="1" t="s">
        <v>715</v>
      </c>
      <c r="K5" s="1" t="s">
        <v>716</v>
      </c>
    </row>
    <row r="6" spans="1:11" ht="27.75" customHeight="1" x14ac:dyDescent="0.2">
      <c r="A6" s="4" t="s">
        <v>579</v>
      </c>
      <c r="B6" s="3" t="s">
        <v>262</v>
      </c>
      <c r="C6" s="3" t="s">
        <v>245</v>
      </c>
      <c r="D6" s="3" t="s">
        <v>262</v>
      </c>
      <c r="E6" s="2" t="s">
        <v>717</v>
      </c>
      <c r="F6" s="2" t="s">
        <v>718</v>
      </c>
      <c r="G6" s="5">
        <v>10793</v>
      </c>
      <c r="H6" s="5">
        <v>633</v>
      </c>
      <c r="I6" s="5">
        <v>23</v>
      </c>
      <c r="J6" s="10">
        <v>2.1310108403594921E-3</v>
      </c>
      <c r="K6" s="3" t="s">
        <v>719</v>
      </c>
    </row>
    <row r="7" spans="1:11" ht="27.75" customHeight="1" x14ac:dyDescent="0.2">
      <c r="A7" s="4" t="s">
        <v>515</v>
      </c>
      <c r="B7" s="3" t="s">
        <v>272</v>
      </c>
      <c r="C7" s="3" t="s">
        <v>245</v>
      </c>
      <c r="D7" s="3" t="s">
        <v>272</v>
      </c>
      <c r="E7" s="2" t="s">
        <v>717</v>
      </c>
      <c r="F7" s="2" t="s">
        <v>718</v>
      </c>
      <c r="G7" s="5">
        <v>10793</v>
      </c>
      <c r="H7" s="5">
        <v>215</v>
      </c>
      <c r="I7" s="5">
        <v>35</v>
      </c>
      <c r="J7" s="10">
        <v>3.2428425831557491E-3</v>
      </c>
      <c r="K7" s="3" t="s">
        <v>720</v>
      </c>
    </row>
    <row r="8" spans="1:11" ht="27.75" customHeight="1" x14ac:dyDescent="0.2">
      <c r="A8" s="4" t="s">
        <v>579</v>
      </c>
      <c r="B8" s="3" t="s">
        <v>262</v>
      </c>
      <c r="C8" s="3" t="s">
        <v>367</v>
      </c>
      <c r="D8" s="3" t="s">
        <v>262</v>
      </c>
      <c r="E8" s="2" t="s">
        <v>717</v>
      </c>
      <c r="F8" s="2" t="s">
        <v>718</v>
      </c>
      <c r="G8" s="5">
        <v>2187</v>
      </c>
      <c r="H8" s="5">
        <v>121</v>
      </c>
      <c r="I8" s="5">
        <v>4</v>
      </c>
      <c r="J8" s="10">
        <v>1.8289894833104709E-3</v>
      </c>
      <c r="K8" s="3" t="s">
        <v>719</v>
      </c>
    </row>
    <row r="9" spans="1:11" ht="27.75" customHeight="1" x14ac:dyDescent="0.2">
      <c r="A9" s="4" t="s">
        <v>515</v>
      </c>
      <c r="B9" s="3" t="s">
        <v>272</v>
      </c>
      <c r="C9" s="3" t="s">
        <v>367</v>
      </c>
      <c r="D9" s="3" t="s">
        <v>272</v>
      </c>
      <c r="E9" s="2" t="s">
        <v>717</v>
      </c>
      <c r="F9" s="2" t="s">
        <v>718</v>
      </c>
      <c r="G9" s="5">
        <v>2187</v>
      </c>
      <c r="H9" s="5">
        <v>8</v>
      </c>
      <c r="I9" s="5">
        <v>8</v>
      </c>
      <c r="J9" s="10">
        <v>3.6579789666209418E-3</v>
      </c>
      <c r="K9" s="3" t="s">
        <v>721</v>
      </c>
    </row>
    <row r="10" spans="1:11" ht="21.75" customHeight="1" x14ac:dyDescent="0.2">
      <c r="A10" s="4" t="s">
        <v>562</v>
      </c>
      <c r="B10" s="3" t="s">
        <v>386</v>
      </c>
      <c r="C10" s="3" t="s">
        <v>367</v>
      </c>
      <c r="D10" s="3" t="s">
        <v>386</v>
      </c>
      <c r="E10" s="2" t="s">
        <v>717</v>
      </c>
      <c r="F10" s="2" t="s">
        <v>718</v>
      </c>
      <c r="G10" s="5">
        <v>2187</v>
      </c>
      <c r="H10" s="5">
        <v>0</v>
      </c>
      <c r="I10" s="5">
        <v>0</v>
      </c>
      <c r="J10" s="10">
        <v>0</v>
      </c>
      <c r="K10" s="3" t="s">
        <v>606</v>
      </c>
    </row>
    <row r="11" spans="1:11" ht="21.75" customHeight="1" x14ac:dyDescent="0.2">
      <c r="A11" s="4" t="s">
        <v>562</v>
      </c>
      <c r="B11" s="3" t="s">
        <v>386</v>
      </c>
      <c r="C11" s="3" t="s">
        <v>515</v>
      </c>
      <c r="D11" s="3" t="s">
        <v>554</v>
      </c>
      <c r="E11" s="2" t="s">
        <v>717</v>
      </c>
      <c r="F11" s="2" t="s">
        <v>718</v>
      </c>
      <c r="G11" s="5">
        <v>30</v>
      </c>
      <c r="H11" s="5">
        <v>0</v>
      </c>
      <c r="I11" s="5">
        <v>0</v>
      </c>
      <c r="J11" s="10">
        <v>0</v>
      </c>
      <c r="K11" s="3" t="s">
        <v>606</v>
      </c>
    </row>
    <row r="12" spans="1:11" ht="27.75" customHeight="1" x14ac:dyDescent="0.2">
      <c r="A12" s="4" t="s">
        <v>579</v>
      </c>
      <c r="B12" s="3" t="s">
        <v>262</v>
      </c>
      <c r="C12" s="3" t="s">
        <v>432</v>
      </c>
      <c r="D12" s="3" t="s">
        <v>262</v>
      </c>
      <c r="E12" s="2" t="s">
        <v>717</v>
      </c>
      <c r="F12" s="2" t="s">
        <v>718</v>
      </c>
      <c r="G12" s="5">
        <v>5665</v>
      </c>
      <c r="H12" s="5">
        <v>322</v>
      </c>
      <c r="I12" s="5">
        <v>10</v>
      </c>
      <c r="J12" s="10">
        <v>1.76522506619594E-3</v>
      </c>
      <c r="K12" s="3" t="s">
        <v>719</v>
      </c>
    </row>
    <row r="13" spans="1:11" ht="27.75" customHeight="1" x14ac:dyDescent="0.2">
      <c r="A13" s="4" t="s">
        <v>515</v>
      </c>
      <c r="B13" s="3" t="s">
        <v>272</v>
      </c>
      <c r="C13" s="3" t="s">
        <v>432</v>
      </c>
      <c r="D13" s="3" t="s">
        <v>470</v>
      </c>
      <c r="E13" s="2" t="s">
        <v>717</v>
      </c>
      <c r="F13" s="2" t="s">
        <v>718</v>
      </c>
      <c r="G13" s="5">
        <v>5665</v>
      </c>
      <c r="H13" s="5">
        <v>72</v>
      </c>
      <c r="I13" s="5">
        <v>22</v>
      </c>
      <c r="J13" s="10">
        <v>3.8834951456310678E-3</v>
      </c>
      <c r="K13" s="3" t="s">
        <v>722</v>
      </c>
    </row>
    <row r="14" spans="1:11" ht="75.75" customHeight="1" x14ac:dyDescent="0.2">
      <c r="A14" s="4" t="s">
        <v>245</v>
      </c>
      <c r="B14" s="3" t="s">
        <v>723</v>
      </c>
      <c r="C14" s="3" t="s">
        <v>432</v>
      </c>
      <c r="D14" s="3" t="s">
        <v>724</v>
      </c>
      <c r="E14" s="2" t="s">
        <v>725</v>
      </c>
      <c r="F14" s="3" t="s">
        <v>726</v>
      </c>
      <c r="G14" s="5">
        <v>5665</v>
      </c>
      <c r="H14" s="5">
        <v>893</v>
      </c>
      <c r="I14" s="5">
        <v>179</v>
      </c>
      <c r="J14" s="10">
        <v>3.1597528684907332E-2</v>
      </c>
      <c r="K14" s="3" t="s">
        <v>727</v>
      </c>
    </row>
    <row r="16" spans="1:11" ht="19.5" customHeight="1" x14ac:dyDescent="0.2">
      <c r="A16" s="18" t="s">
        <v>728</v>
      </c>
      <c r="B16" s="16"/>
      <c r="C16" s="16"/>
      <c r="D16" s="16"/>
      <c r="E16" s="16"/>
      <c r="F16" s="16"/>
      <c r="G16" s="16"/>
      <c r="H16" s="16"/>
      <c r="I16" s="16"/>
      <c r="J16" s="16"/>
      <c r="K16" s="17"/>
    </row>
    <row r="17" spans="1:11" ht="30" customHeight="1" x14ac:dyDescent="0.2">
      <c r="A17" s="11" t="s">
        <v>729</v>
      </c>
      <c r="B17" s="19" t="s">
        <v>730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30" customHeight="1" x14ac:dyDescent="0.2">
      <c r="A18" s="11" t="s">
        <v>731</v>
      </c>
      <c r="B18" s="19" t="s">
        <v>732</v>
      </c>
      <c r="C18" s="13"/>
      <c r="D18" s="13"/>
      <c r="E18" s="13"/>
      <c r="F18" s="13"/>
      <c r="G18" s="13"/>
      <c r="H18" s="13"/>
      <c r="I18" s="13"/>
      <c r="J18" s="13"/>
      <c r="K18" s="13"/>
    </row>
    <row r="21" spans="1:11" ht="15.75" customHeight="1" x14ac:dyDescent="0.2"/>
    <row r="22" spans="1:11" ht="15.75" customHeight="1" x14ac:dyDescent="0.2"/>
    <row r="23" spans="1:11" ht="15.75" customHeight="1" x14ac:dyDescent="0.2"/>
    <row r="24" spans="1:11" ht="15.75" customHeight="1" x14ac:dyDescent="0.2"/>
    <row r="25" spans="1:11" ht="15.75" customHeight="1" x14ac:dyDescent="0.2"/>
    <row r="26" spans="1:11" ht="15.75" customHeight="1" x14ac:dyDescent="0.2"/>
    <row r="27" spans="1:11" ht="15.75" customHeight="1" x14ac:dyDescent="0.2"/>
    <row r="28" spans="1:11" ht="15.75" customHeight="1" x14ac:dyDescent="0.2"/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6">
    <mergeCell ref="A1:K1"/>
    <mergeCell ref="A3:K3"/>
    <mergeCell ref="B17:K17"/>
    <mergeCell ref="B18:K18"/>
    <mergeCell ref="A2:K2"/>
    <mergeCell ref="A16:K16"/>
  </mergeCells>
  <pageMargins left="0.4" right="0.4" top="0.5" bottom="0.5" header="0" footer="0"/>
  <pageSetup paperSize="9" fitToHeight="0" orientation="landscape"/>
  <headerFooter>
    <oddFooter>&amp;C 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4.390625" defaultRowHeight="15" customHeight="1" x14ac:dyDescent="0.2"/>
  <cols>
    <col min="1" max="1" width="18.0234375" customWidth="1"/>
    <col min="2" max="2" width="37.93359375" customWidth="1"/>
    <col min="3" max="3" width="11.97265625" customWidth="1"/>
    <col min="4" max="4" width="14.9296875" customWidth="1"/>
    <col min="5" max="5" width="52.05859375" customWidth="1"/>
    <col min="6" max="6" width="64.03125" customWidth="1"/>
    <col min="7" max="11" width="8.7421875" customWidth="1"/>
  </cols>
  <sheetData>
    <row r="1" spans="1:6" ht="24" customHeight="1" x14ac:dyDescent="0.2">
      <c r="A1" s="15" t="s">
        <v>0</v>
      </c>
      <c r="B1" s="16"/>
      <c r="C1" s="16"/>
      <c r="D1" s="16"/>
      <c r="E1" s="16"/>
      <c r="F1" s="17"/>
    </row>
    <row r="2" spans="1:6" ht="30" customHeight="1" x14ac:dyDescent="0.2">
      <c r="A2" s="14" t="s">
        <v>733</v>
      </c>
      <c r="B2" s="13"/>
      <c r="C2" s="13"/>
      <c r="D2" s="13"/>
      <c r="E2" s="13"/>
      <c r="F2" s="13"/>
    </row>
    <row r="3" spans="1:6" ht="27.75" customHeight="1" x14ac:dyDescent="0.2">
      <c r="A3" s="12" t="s">
        <v>734</v>
      </c>
      <c r="B3" s="13"/>
      <c r="C3" s="13"/>
      <c r="D3" s="13"/>
      <c r="E3" s="13"/>
      <c r="F3" s="13"/>
    </row>
    <row r="5" spans="1:6" ht="31.5" customHeight="1" x14ac:dyDescent="0.2">
      <c r="A5" s="1" t="s">
        <v>4</v>
      </c>
      <c r="B5" s="1" t="s">
        <v>735</v>
      </c>
      <c r="C5" s="1" t="s">
        <v>736</v>
      </c>
      <c r="D5" s="1" t="s">
        <v>737</v>
      </c>
      <c r="E5" s="1" t="s">
        <v>738</v>
      </c>
      <c r="F5" s="1" t="s">
        <v>739</v>
      </c>
    </row>
    <row r="6" spans="1:6" ht="21.75" customHeight="1" x14ac:dyDescent="0.2">
      <c r="A6" s="4" t="s">
        <v>20</v>
      </c>
      <c r="B6" s="3" t="s">
        <v>740</v>
      </c>
      <c r="C6" s="5">
        <v>46</v>
      </c>
      <c r="D6" s="5">
        <v>46</v>
      </c>
      <c r="E6" s="3" t="s">
        <v>741</v>
      </c>
      <c r="F6" s="3" t="s">
        <v>742</v>
      </c>
    </row>
    <row r="7" spans="1:6" ht="39.75" customHeight="1" x14ac:dyDescent="0.2">
      <c r="A7" s="4" t="s">
        <v>245</v>
      </c>
      <c r="B7" s="3" t="s">
        <v>740</v>
      </c>
      <c r="C7" s="5">
        <v>10793</v>
      </c>
      <c r="D7" s="5">
        <v>10631</v>
      </c>
      <c r="E7" s="3" t="s">
        <v>743</v>
      </c>
      <c r="F7" s="3" t="s">
        <v>744</v>
      </c>
    </row>
    <row r="8" spans="1:6" ht="39.75" customHeight="1" x14ac:dyDescent="0.2">
      <c r="A8" s="4" t="s">
        <v>367</v>
      </c>
      <c r="B8" s="3" t="s">
        <v>740</v>
      </c>
      <c r="C8" s="5">
        <v>2187</v>
      </c>
      <c r="D8" s="5">
        <v>2168</v>
      </c>
      <c r="E8" s="3" t="s">
        <v>745</v>
      </c>
      <c r="F8" s="3" t="s">
        <v>746</v>
      </c>
    </row>
    <row r="9" spans="1:6" ht="21.75" customHeight="1" x14ac:dyDescent="0.2">
      <c r="A9" s="4" t="s">
        <v>432</v>
      </c>
      <c r="B9" s="3" t="s">
        <v>740</v>
      </c>
      <c r="C9" s="5">
        <v>5665</v>
      </c>
      <c r="D9" s="5">
        <v>5598</v>
      </c>
      <c r="E9" s="3" t="s">
        <v>747</v>
      </c>
      <c r="F9" s="3" t="s">
        <v>748</v>
      </c>
    </row>
    <row r="10" spans="1:6" ht="21.75" customHeight="1" x14ac:dyDescent="0.2">
      <c r="A10" s="4" t="s">
        <v>245</v>
      </c>
      <c r="B10" s="3" t="s">
        <v>749</v>
      </c>
      <c r="C10" s="5">
        <v>17</v>
      </c>
      <c r="D10" s="5">
        <v>5</v>
      </c>
      <c r="E10" s="3" t="s">
        <v>750</v>
      </c>
      <c r="F10" s="3" t="s">
        <v>751</v>
      </c>
    </row>
    <row r="11" spans="1:6" ht="21.75" customHeight="1" x14ac:dyDescent="0.2">
      <c r="A11" s="4" t="s">
        <v>367</v>
      </c>
      <c r="B11" s="3" t="s">
        <v>749</v>
      </c>
      <c r="C11" s="5">
        <v>17</v>
      </c>
      <c r="D11" s="5">
        <v>5</v>
      </c>
      <c r="E11" s="3" t="s">
        <v>752</v>
      </c>
      <c r="F11" s="3" t="s">
        <v>751</v>
      </c>
    </row>
    <row r="12" spans="1:6" ht="21.75" customHeight="1" x14ac:dyDescent="0.2">
      <c r="A12" s="4" t="s">
        <v>432</v>
      </c>
      <c r="B12" s="3" t="s">
        <v>749</v>
      </c>
      <c r="C12" s="5">
        <v>17</v>
      </c>
      <c r="D12" s="5">
        <v>5</v>
      </c>
      <c r="E12" s="3" t="s">
        <v>752</v>
      </c>
      <c r="F12" s="3" t="s">
        <v>751</v>
      </c>
    </row>
    <row r="13" spans="1:6" ht="21.75" customHeight="1" x14ac:dyDescent="0.2">
      <c r="A13" s="4" t="s">
        <v>245</v>
      </c>
      <c r="B13" s="3" t="s">
        <v>753</v>
      </c>
      <c r="C13" s="5">
        <v>93</v>
      </c>
      <c r="D13" s="5">
        <v>33</v>
      </c>
      <c r="E13" s="3" t="s">
        <v>754</v>
      </c>
      <c r="F13" s="3" t="s">
        <v>755</v>
      </c>
    </row>
    <row r="14" spans="1:6" ht="21.75" customHeight="1" x14ac:dyDescent="0.2">
      <c r="A14" s="4" t="s">
        <v>432</v>
      </c>
      <c r="B14" s="3" t="s">
        <v>756</v>
      </c>
      <c r="C14" s="5">
        <v>36</v>
      </c>
      <c r="D14" s="5">
        <v>20</v>
      </c>
      <c r="E14" s="3" t="s">
        <v>754</v>
      </c>
      <c r="F14" s="3" t="s">
        <v>757</v>
      </c>
    </row>
    <row r="15" spans="1:6" ht="21.75" customHeight="1" x14ac:dyDescent="0.2">
      <c r="A15" s="4" t="s">
        <v>367</v>
      </c>
      <c r="B15" s="3" t="s">
        <v>758</v>
      </c>
      <c r="C15" s="5">
        <v>14</v>
      </c>
      <c r="D15" s="5">
        <v>4</v>
      </c>
      <c r="E15" s="3" t="s">
        <v>759</v>
      </c>
      <c r="F15" s="3" t="s">
        <v>760</v>
      </c>
    </row>
    <row r="16" spans="1:6" ht="21.75" customHeight="1" x14ac:dyDescent="0.2">
      <c r="A16" s="4" t="s">
        <v>245</v>
      </c>
      <c r="B16" s="3" t="s">
        <v>761</v>
      </c>
      <c r="C16" s="5">
        <v>6</v>
      </c>
      <c r="D16" s="5">
        <v>2</v>
      </c>
      <c r="E16" s="3" t="s">
        <v>762</v>
      </c>
      <c r="F16" s="3" t="s">
        <v>763</v>
      </c>
    </row>
    <row r="17" spans="1:6" ht="21.75" customHeight="1" x14ac:dyDescent="0.2">
      <c r="A17" s="4" t="s">
        <v>432</v>
      </c>
      <c r="B17" s="3" t="s">
        <v>764</v>
      </c>
      <c r="C17" s="5">
        <v>8</v>
      </c>
      <c r="D17" s="5">
        <v>2</v>
      </c>
      <c r="E17" s="3" t="s">
        <v>765</v>
      </c>
      <c r="F17" s="3" t="s">
        <v>766</v>
      </c>
    </row>
    <row r="18" spans="1:6" ht="21.75" customHeight="1" x14ac:dyDescent="0.2">
      <c r="A18" s="4" t="s">
        <v>432</v>
      </c>
      <c r="B18" s="3" t="s">
        <v>767</v>
      </c>
      <c r="C18" s="5">
        <v>6</v>
      </c>
      <c r="D18" s="5">
        <v>2</v>
      </c>
      <c r="E18" s="3" t="s">
        <v>768</v>
      </c>
      <c r="F18" s="3"/>
    </row>
    <row r="19" spans="1:6" ht="21.75" customHeight="1" x14ac:dyDescent="0.2">
      <c r="A19" s="4" t="s">
        <v>432</v>
      </c>
      <c r="B19" s="3" t="s">
        <v>769</v>
      </c>
      <c r="C19" s="5">
        <v>4</v>
      </c>
      <c r="D19" s="5">
        <v>2</v>
      </c>
      <c r="E19" s="3" t="s">
        <v>770</v>
      </c>
      <c r="F19" s="3"/>
    </row>
    <row r="20" spans="1:6" ht="27.75" customHeight="1" x14ac:dyDescent="0.2">
      <c r="A20" s="4" t="s">
        <v>432</v>
      </c>
      <c r="B20" s="3" t="s">
        <v>771</v>
      </c>
      <c r="C20" s="5">
        <v>33</v>
      </c>
      <c r="D20" s="5">
        <v>13</v>
      </c>
      <c r="E20" s="3" t="s">
        <v>772</v>
      </c>
      <c r="F20" s="3" t="s">
        <v>773</v>
      </c>
    </row>
    <row r="21" spans="1:6" ht="27.75" customHeight="1" x14ac:dyDescent="0.2">
      <c r="A21" s="4" t="s">
        <v>432</v>
      </c>
      <c r="B21" s="3" t="s">
        <v>774</v>
      </c>
      <c r="C21" s="5">
        <v>6</v>
      </c>
      <c r="D21" s="5">
        <v>3</v>
      </c>
      <c r="E21" s="3" t="s">
        <v>775</v>
      </c>
      <c r="F21" s="3" t="s">
        <v>776</v>
      </c>
    </row>
    <row r="22" spans="1:6" ht="21.75" customHeight="1" x14ac:dyDescent="0.2">
      <c r="A22" s="4" t="s">
        <v>20</v>
      </c>
      <c r="B22" s="3" t="s">
        <v>777</v>
      </c>
      <c r="C22" s="5">
        <v>8</v>
      </c>
      <c r="D22" s="5">
        <v>0</v>
      </c>
      <c r="E22" s="3" t="s">
        <v>778</v>
      </c>
      <c r="F22" s="3" t="s">
        <v>779</v>
      </c>
    </row>
    <row r="23" spans="1:6" ht="21.75" customHeight="1" x14ac:dyDescent="0.2">
      <c r="A23" s="4" t="s">
        <v>20</v>
      </c>
      <c r="B23" s="3" t="s">
        <v>780</v>
      </c>
      <c r="C23" s="5">
        <v>8</v>
      </c>
      <c r="D23" s="5">
        <v>0</v>
      </c>
      <c r="E23" s="3" t="s">
        <v>778</v>
      </c>
      <c r="F23" s="3" t="s">
        <v>779</v>
      </c>
    </row>
    <row r="24" spans="1:6" ht="21.75" customHeight="1" x14ac:dyDescent="0.2">
      <c r="A24" s="4" t="s">
        <v>20</v>
      </c>
      <c r="B24" s="3" t="s">
        <v>781</v>
      </c>
      <c r="C24" s="5">
        <v>1</v>
      </c>
      <c r="D24" s="5">
        <v>0</v>
      </c>
      <c r="E24" s="3" t="s">
        <v>782</v>
      </c>
      <c r="F24" s="3" t="s">
        <v>783</v>
      </c>
    </row>
    <row r="25" spans="1:6" ht="27.75" customHeight="1" x14ac:dyDescent="0.2">
      <c r="A25" s="4" t="s">
        <v>20</v>
      </c>
      <c r="B25" s="3" t="s">
        <v>784</v>
      </c>
      <c r="C25" s="5">
        <v>21</v>
      </c>
      <c r="D25" s="5">
        <v>0</v>
      </c>
      <c r="E25" s="3" t="s">
        <v>785</v>
      </c>
      <c r="F25" s="3" t="s">
        <v>786</v>
      </c>
    </row>
    <row r="26" spans="1:6" ht="21.75" customHeight="1" x14ac:dyDescent="0.2">
      <c r="A26" s="4" t="s">
        <v>20</v>
      </c>
      <c r="B26" s="3" t="s">
        <v>787</v>
      </c>
      <c r="C26" s="5">
        <v>2</v>
      </c>
      <c r="D26" s="5">
        <v>0</v>
      </c>
      <c r="E26" s="3" t="s">
        <v>788</v>
      </c>
      <c r="F26" s="3" t="s">
        <v>789</v>
      </c>
    </row>
    <row r="27" spans="1:6" ht="27.75" customHeight="1" x14ac:dyDescent="0.2">
      <c r="A27" s="4" t="s">
        <v>20</v>
      </c>
      <c r="B27" s="3" t="s">
        <v>790</v>
      </c>
      <c r="C27" s="5">
        <v>8</v>
      </c>
      <c r="D27" s="5">
        <v>2</v>
      </c>
      <c r="E27" s="3" t="s">
        <v>791</v>
      </c>
      <c r="F27" s="3" t="s">
        <v>792</v>
      </c>
    </row>
    <row r="28" spans="1:6" ht="27.75" customHeight="1" x14ac:dyDescent="0.2">
      <c r="A28" s="4" t="s">
        <v>20</v>
      </c>
      <c r="B28" s="3" t="s">
        <v>793</v>
      </c>
      <c r="C28" s="5">
        <v>6</v>
      </c>
      <c r="D28" s="5">
        <v>0</v>
      </c>
      <c r="E28" s="3" t="s">
        <v>794</v>
      </c>
      <c r="F28" s="3" t="s">
        <v>795</v>
      </c>
    </row>
    <row r="29" spans="1:6" ht="39.75" customHeight="1" x14ac:dyDescent="0.2">
      <c r="A29" s="4" t="s">
        <v>245</v>
      </c>
      <c r="B29" s="3" t="s">
        <v>796</v>
      </c>
      <c r="C29" s="5">
        <v>568</v>
      </c>
      <c r="D29" s="5">
        <v>0</v>
      </c>
      <c r="E29" s="3" t="s">
        <v>797</v>
      </c>
      <c r="F29" s="3" t="s">
        <v>798</v>
      </c>
    </row>
    <row r="30" spans="1:6" ht="27.75" customHeight="1" x14ac:dyDescent="0.2">
      <c r="A30" s="4" t="s">
        <v>367</v>
      </c>
      <c r="B30" s="3" t="s">
        <v>799</v>
      </c>
      <c r="C30" s="5">
        <v>92</v>
      </c>
      <c r="D30" s="5">
        <v>0</v>
      </c>
      <c r="E30" s="3" t="s">
        <v>800</v>
      </c>
      <c r="F30" s="3" t="s">
        <v>801</v>
      </c>
    </row>
    <row r="31" spans="1:6" ht="27.75" customHeight="1" x14ac:dyDescent="0.2">
      <c r="A31" s="4" t="s">
        <v>432</v>
      </c>
      <c r="B31" s="3" t="s">
        <v>802</v>
      </c>
      <c r="C31" s="5">
        <v>286</v>
      </c>
      <c r="D31" s="5">
        <v>0</v>
      </c>
      <c r="E31" s="3" t="s">
        <v>803</v>
      </c>
      <c r="F31" s="3" t="s">
        <v>804</v>
      </c>
    </row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autoFilter ref="A5:F31" xr:uid="{00000000-0009-0000-0000-000003000000}"/>
  <mergeCells count="3">
    <mergeCell ref="A3:F3"/>
    <mergeCell ref="A2:F2"/>
    <mergeCell ref="A1:F1"/>
  </mergeCells>
  <pageMargins left="0.4" right="0.4" top="0.5" bottom="0.5" header="0" footer="0"/>
  <pageSetup paperSize="9" fitToHeight="0" orientation="landscape"/>
  <headerFooter>
    <oddFooter>&amp;C 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Dictionary</vt:lpstr>
      <vt:lpstr>Source Reconciliation</vt:lpstr>
      <vt:lpstr>Keys &amp; Relationships</vt:lpstr>
      <vt:lpstr>Standardization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2026-10-17T16:26:31Z</dcterms:created>
  <dcterms:modified xsi:type="dcterms:W3CDTF">2026-10-17T16:26:32Z</dcterms:modified>
</cp:coreProperties>
</file>